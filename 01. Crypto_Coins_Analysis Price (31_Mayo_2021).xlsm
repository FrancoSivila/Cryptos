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NiceHash CryptoMining\"/>
    </mc:Choice>
  </mc:AlternateContent>
  <xr:revisionPtr revIDLastSave="0" documentId="13_ncr:1_{D0371350-8B16-4196-94AF-6730970BA01C}" xr6:coauthVersionLast="46" xr6:coauthVersionMax="46" xr10:uidLastSave="{00000000-0000-0000-0000-000000000000}"/>
  <bookViews>
    <workbookView xWindow="-120" yWindow="-120" windowWidth="29040" windowHeight="15840" xr2:uid="{EEC220DD-57B7-4E5E-8A59-7FD094D03B70}"/>
  </bookViews>
  <sheets>
    <sheet name="Analysis" sheetId="1" r:id="rId1"/>
    <sheet name="CoinMarketCap Data" sheetId="2" r:id="rId2"/>
  </sheets>
  <externalReferences>
    <externalReference r:id="rId3"/>
  </externalReferences>
  <definedNames>
    <definedName name="ExternalData_1" localSheetId="1" hidden="1">'CoinMarketCap Data'!$A$1:$J$101</definedName>
  </definedNames>
  <calcPr calcId="191029"/>
</workbook>
</file>

<file path=xl/calcChain.xml><?xml version="1.0" encoding="utf-8"?>
<calcChain xmlns="http://schemas.openxmlformats.org/spreadsheetml/2006/main">
  <c r="N19" i="1" l="1"/>
  <c r="N18" i="1"/>
  <c r="N17" i="1"/>
  <c r="N16" i="1"/>
  <c r="N15" i="1"/>
  <c r="N14" i="1"/>
  <c r="N13" i="1"/>
  <c r="N12" i="1"/>
  <c r="N11" i="1"/>
  <c r="N10" i="1"/>
  <c r="M19" i="1"/>
  <c r="M18" i="1"/>
  <c r="M17" i="1"/>
  <c r="M16" i="1"/>
  <c r="M15" i="1"/>
  <c r="M14" i="1"/>
  <c r="M13" i="1"/>
  <c r="M12" i="1"/>
  <c r="M11" i="1"/>
  <c r="M10" i="1"/>
  <c r="L19" i="1"/>
  <c r="L18" i="1"/>
  <c r="L17" i="1"/>
  <c r="L16" i="1"/>
  <c r="L15" i="1"/>
  <c r="L14" i="1"/>
  <c r="L13" i="1"/>
  <c r="L12" i="1"/>
  <c r="L11" i="1"/>
  <c r="L10" i="1"/>
  <c r="K19" i="1"/>
  <c r="K18" i="1"/>
  <c r="K17" i="1"/>
  <c r="K16" i="1"/>
  <c r="K15" i="1"/>
  <c r="K14" i="1"/>
  <c r="K13" i="1"/>
  <c r="K12" i="1"/>
  <c r="K11" i="1"/>
  <c r="K10" i="1"/>
  <c r="G11" i="1"/>
  <c r="D4" i="1"/>
  <c r="G13" i="1" s="1"/>
  <c r="E10" i="1"/>
  <c r="P10" i="1" s="1"/>
  <c r="U19" i="1"/>
  <c r="H19" i="1"/>
  <c r="I19" i="1" s="1"/>
  <c r="E19" i="1"/>
  <c r="P19" i="1" s="1"/>
  <c r="U18" i="1"/>
  <c r="H18" i="1"/>
  <c r="I18" i="1" s="1"/>
  <c r="E18" i="1"/>
  <c r="P18" i="1" s="1"/>
  <c r="U17" i="1"/>
  <c r="H17" i="1"/>
  <c r="I17" i="1" s="1"/>
  <c r="E17" i="1"/>
  <c r="P17" i="1" s="1"/>
  <c r="U16" i="1"/>
  <c r="H16" i="1"/>
  <c r="I16" i="1" s="1"/>
  <c r="E16" i="1"/>
  <c r="P16" i="1" s="1"/>
  <c r="U15" i="1"/>
  <c r="H15" i="1"/>
  <c r="I15" i="1" s="1"/>
  <c r="E15" i="1"/>
  <c r="P15" i="1" s="1"/>
  <c r="U14" i="1"/>
  <c r="H14" i="1"/>
  <c r="I14" i="1" s="1"/>
  <c r="E14" i="1"/>
  <c r="P14" i="1" s="1"/>
  <c r="U13" i="1"/>
  <c r="H13" i="1"/>
  <c r="I13" i="1" s="1"/>
  <c r="E13" i="1"/>
  <c r="P13" i="1" s="1"/>
  <c r="U12" i="1"/>
  <c r="H12" i="1"/>
  <c r="I12" i="1" s="1"/>
  <c r="E12" i="1"/>
  <c r="P12" i="1" s="1"/>
  <c r="U11" i="1"/>
  <c r="H11" i="1"/>
  <c r="I11" i="1" s="1"/>
  <c r="E11" i="1"/>
  <c r="P11" i="1" s="1"/>
  <c r="U10" i="1"/>
  <c r="H10" i="1"/>
  <c r="I10" i="1" s="1"/>
  <c r="T7" i="1"/>
  <c r="S7" i="1"/>
  <c r="R7" i="1"/>
  <c r="Q7" i="1"/>
  <c r="G19" i="1" l="1"/>
  <c r="G18" i="1"/>
  <c r="G16" i="1"/>
  <c r="G15" i="1"/>
  <c r="G14" i="1"/>
  <c r="G12" i="1"/>
  <c r="G10" i="1"/>
  <c r="G17" i="1"/>
  <c r="Q14" i="1"/>
  <c r="R14" i="1"/>
  <c r="S14" i="1"/>
  <c r="V14" i="1" s="1"/>
  <c r="T14" i="1"/>
  <c r="W14" i="1" s="1"/>
  <c r="R13" i="1"/>
  <c r="S12" i="1"/>
  <c r="V12" i="1" s="1"/>
  <c r="R11" i="1"/>
  <c r="Q10" i="1"/>
  <c r="T10" i="1"/>
  <c r="S10" i="1"/>
  <c r="R10" i="1"/>
  <c r="T18" i="1"/>
  <c r="W18" i="1" s="1"/>
  <c r="S18" i="1"/>
  <c r="V18" i="1" s="1"/>
  <c r="R18" i="1"/>
  <c r="Q18" i="1"/>
  <c r="R16" i="1"/>
  <c r="T16" i="1"/>
  <c r="W16" i="1" s="1"/>
  <c r="Q16" i="1"/>
  <c r="S16" i="1"/>
  <c r="V16" i="1" s="1"/>
  <c r="T19" i="1"/>
  <c r="W19" i="1" s="1"/>
  <c r="S19" i="1"/>
  <c r="V19" i="1" s="1"/>
  <c r="R19" i="1"/>
  <c r="Q19" i="1"/>
  <c r="T17" i="1"/>
  <c r="W17" i="1" s="1"/>
  <c r="S17" i="1"/>
  <c r="V17" i="1" s="1"/>
  <c r="R17" i="1"/>
  <c r="Q17" i="1"/>
  <c r="Q15" i="1"/>
  <c r="S15" i="1"/>
  <c r="V15" i="1" s="1"/>
  <c r="R15" i="1"/>
  <c r="T15" i="1"/>
  <c r="W15" i="1" s="1"/>
  <c r="Q12" i="1"/>
  <c r="T13" i="1"/>
  <c r="W13" i="1" s="1"/>
  <c r="T12" i="1"/>
  <c r="W12" i="1" s="1"/>
  <c r="S11" i="1"/>
  <c r="T11" i="1"/>
  <c r="S13" i="1"/>
  <c r="V13" i="1" s="1"/>
  <c r="Q11" i="1"/>
  <c r="Q13" i="1"/>
  <c r="R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82025A-933C-4E19-B259-00FE8F6B5450}" keepAlive="1" name="Query - latest?start=1&amp;limit=100&amp;CMC_PRO_API_KEY=aad013ad-d101-4443-8919-2c4a17f84c1c" description="Connection to the 'latest?start=1&amp;limit=100&amp;CMC_PRO_API_KEY=aad013ad-d101-4443-8919-2c4a17f84c1c' query in the workbook." type="5" refreshedVersion="7" background="1" saveData="1">
    <dbPr connection="Provider=Microsoft.Mashup.OleDb.1;Data Source=$Workbook$;Location=&quot;latest?start=1&amp;limit=100&amp;CMC_PRO_API_KEY=aad013ad-d101-4443-8919-2c4a17f84c1c&quot;;Extended Properties=&quot;&quot;" command="SELECT * FROM [latest?start=1&amp;limit=100&amp;CMC_PRO_API_KEY=aad013ad-d101-4443-8919-2c4a17f84c1c]"/>
  </connection>
</connections>
</file>

<file path=xl/sharedStrings.xml><?xml version="1.0" encoding="utf-8"?>
<sst xmlns="http://schemas.openxmlformats.org/spreadsheetml/2006/main" count="376" uniqueCount="245">
  <si>
    <t>Invesment</t>
  </si>
  <si>
    <t>Capitalización</t>
  </si>
  <si>
    <t>USD</t>
  </si>
  <si>
    <t>Return on Investment (ROI)</t>
  </si>
  <si>
    <t>Increment</t>
  </si>
  <si>
    <t>Market Cap</t>
  </si>
  <si>
    <t>Circulating</t>
  </si>
  <si>
    <t>Max</t>
  </si>
  <si>
    <t>MC</t>
  </si>
  <si>
    <t>Price @ Circulating Supply</t>
  </si>
  <si>
    <t>@ 10 %</t>
  </si>
  <si>
    <t>@ 5 %</t>
  </si>
  <si>
    <t>Supply</t>
  </si>
  <si>
    <t>Price</t>
  </si>
  <si>
    <t>Coin/BTC</t>
  </si>
  <si>
    <t>Price Check</t>
  </si>
  <si>
    <t>Coin</t>
  </si>
  <si>
    <t xml:space="preserve"> BTC MC</t>
  </si>
  <si>
    <t>BTC MC</t>
  </si>
  <si>
    <t>MM USD</t>
  </si>
  <si>
    <t xml:space="preserve">MM </t>
  </si>
  <si>
    <t>%</t>
  </si>
  <si>
    <t>No.</t>
  </si>
  <si>
    <t>Bitcoin</t>
  </si>
  <si>
    <t>BTC</t>
  </si>
  <si>
    <t>Etherium</t>
  </si>
  <si>
    <t>ETH</t>
  </si>
  <si>
    <t>Cardano</t>
  </si>
  <si>
    <t>ADA</t>
  </si>
  <si>
    <t>Polkadot</t>
  </si>
  <si>
    <t>DOT</t>
  </si>
  <si>
    <t>Polygon</t>
  </si>
  <si>
    <t>MATIC</t>
  </si>
  <si>
    <t>HARMONY</t>
  </si>
  <si>
    <t>ONE</t>
  </si>
  <si>
    <t>HBAR</t>
  </si>
  <si>
    <t>VET</t>
  </si>
  <si>
    <t>SHIB</t>
  </si>
  <si>
    <t>Solana</t>
  </si>
  <si>
    <t>SOL</t>
  </si>
  <si>
    <t>Column1.id</t>
  </si>
  <si>
    <t>Column1.name</t>
  </si>
  <si>
    <t>Column1.symbol</t>
  </si>
  <si>
    <t>Column1.max_supply</t>
  </si>
  <si>
    <t>Column1.circulating_supply</t>
  </si>
  <si>
    <t>Column1.total_supply</t>
  </si>
  <si>
    <t>price</t>
  </si>
  <si>
    <t>volume_24h</t>
  </si>
  <si>
    <t>market_cap</t>
  </si>
  <si>
    <t>last_updated</t>
  </si>
  <si>
    <t>Ethereum</t>
  </si>
  <si>
    <t>Tether</t>
  </si>
  <si>
    <t>USDT</t>
  </si>
  <si>
    <t>Binance Coin</t>
  </si>
  <si>
    <t>BNB</t>
  </si>
  <si>
    <t>XRP</t>
  </si>
  <si>
    <t>Dogecoin</t>
  </si>
  <si>
    <t>DOGE</t>
  </si>
  <si>
    <t>USD Coin</t>
  </si>
  <si>
    <t>USDC</t>
  </si>
  <si>
    <t>Uniswap</t>
  </si>
  <si>
    <t>UNI</t>
  </si>
  <si>
    <t>Internet Computer</t>
  </si>
  <si>
    <t>ICP</t>
  </si>
  <si>
    <t>Bitcoin Cash</t>
  </si>
  <si>
    <t>BCH</t>
  </si>
  <si>
    <t>Chainlink</t>
  </si>
  <si>
    <t>LINK</t>
  </si>
  <si>
    <t>Litecoin</t>
  </si>
  <si>
    <t>LTC</t>
  </si>
  <si>
    <t>Stellar</t>
  </si>
  <si>
    <t>XLM</t>
  </si>
  <si>
    <t>Binance USD</t>
  </si>
  <si>
    <t>BUSD</t>
  </si>
  <si>
    <t>Ethereum Classic</t>
  </si>
  <si>
    <t>ETC</t>
  </si>
  <si>
    <t>VeChain</t>
  </si>
  <si>
    <t>Wrapped Bitcoin</t>
  </si>
  <si>
    <t>WBTC</t>
  </si>
  <si>
    <t>THETA</t>
  </si>
  <si>
    <t>EOS</t>
  </si>
  <si>
    <t>TRON</t>
  </si>
  <si>
    <t>TRX</t>
  </si>
  <si>
    <t>Filecoin</t>
  </si>
  <si>
    <t>FIL</t>
  </si>
  <si>
    <t>Dai</t>
  </si>
  <si>
    <t>DAI</t>
  </si>
  <si>
    <t>Monero</t>
  </si>
  <si>
    <t>XMR</t>
  </si>
  <si>
    <t>Aave</t>
  </si>
  <si>
    <t>AAVE</t>
  </si>
  <si>
    <t>Neo</t>
  </si>
  <si>
    <t>NEO</t>
  </si>
  <si>
    <t>Maker</t>
  </si>
  <si>
    <t>MKR</t>
  </si>
  <si>
    <t>Klaytn</t>
  </si>
  <si>
    <t>KLAY</t>
  </si>
  <si>
    <t>Bitcoin SV</t>
  </si>
  <si>
    <t>BSV</t>
  </si>
  <si>
    <t>Crypto.com Coin</t>
  </si>
  <si>
    <t>CRO</t>
  </si>
  <si>
    <t>SHIBA INU</t>
  </si>
  <si>
    <t>FTX Token</t>
  </si>
  <si>
    <t>FTT</t>
  </si>
  <si>
    <t>Tezos</t>
  </si>
  <si>
    <t>XTZ</t>
  </si>
  <si>
    <t>IOTA</t>
  </si>
  <si>
    <t>MIOTA</t>
  </si>
  <si>
    <t>Cosmos</t>
  </si>
  <si>
    <t>ATOM</t>
  </si>
  <si>
    <t>PancakeSwap</t>
  </si>
  <si>
    <t>CAKE</t>
  </si>
  <si>
    <t>Algorand</t>
  </si>
  <si>
    <t>ALGO</t>
  </si>
  <si>
    <t>Kusama</t>
  </si>
  <si>
    <t>KSM</t>
  </si>
  <si>
    <t>Huobi Token</t>
  </si>
  <si>
    <t>HT</t>
  </si>
  <si>
    <t>Terra</t>
  </si>
  <si>
    <t>LUNA</t>
  </si>
  <si>
    <t>THORChain</t>
  </si>
  <si>
    <t>RUNE</t>
  </si>
  <si>
    <t>BitTorrent</t>
  </si>
  <si>
    <t>BTT</t>
  </si>
  <si>
    <t>UNUS SED LEO</t>
  </si>
  <si>
    <t>LEO</t>
  </si>
  <si>
    <t>Avalanche</t>
  </si>
  <si>
    <t>AVAX</t>
  </si>
  <si>
    <t>Decred</t>
  </si>
  <si>
    <t>DCR</t>
  </si>
  <si>
    <t>Compound</t>
  </si>
  <si>
    <t>COMP</t>
  </si>
  <si>
    <t>Bitcoin BEP2</t>
  </si>
  <si>
    <t>BTCB</t>
  </si>
  <si>
    <t>TerraUSD</t>
  </si>
  <si>
    <t>UST</t>
  </si>
  <si>
    <t>Dash</t>
  </si>
  <si>
    <t>DASH</t>
  </si>
  <si>
    <t>Hedera Hashgraph</t>
  </si>
  <si>
    <t>Zcash</t>
  </si>
  <si>
    <t>ZEC</t>
  </si>
  <si>
    <t>Elrond</t>
  </si>
  <si>
    <t>EGLD</t>
  </si>
  <si>
    <t>Celsius</t>
  </si>
  <si>
    <t>CEL</t>
  </si>
  <si>
    <t>NEM</t>
  </si>
  <si>
    <t>XEM</t>
  </si>
  <si>
    <t>yearn.finance</t>
  </si>
  <si>
    <t>YFI</t>
  </si>
  <si>
    <t>Theta Fuel</t>
  </si>
  <si>
    <t>TFUEL</t>
  </si>
  <si>
    <t>Telcoin</t>
  </si>
  <si>
    <t>TEL</t>
  </si>
  <si>
    <t>Chiliz</t>
  </si>
  <si>
    <t>CHZ</t>
  </si>
  <si>
    <t>Holo</t>
  </si>
  <si>
    <t>HOT</t>
  </si>
  <si>
    <t>Synthetix</t>
  </si>
  <si>
    <t>SNX</t>
  </si>
  <si>
    <t>SushiSwap</t>
  </si>
  <si>
    <t>SUSHI</t>
  </si>
  <si>
    <t>Waves</t>
  </si>
  <si>
    <t>WAVES</t>
  </si>
  <si>
    <t>Helium</t>
  </si>
  <si>
    <t>HNT</t>
  </si>
  <si>
    <t>Enjin Coin</t>
  </si>
  <si>
    <t>ENJ</t>
  </si>
  <si>
    <t>Decentraland</t>
  </si>
  <si>
    <t>MANA</t>
  </si>
  <si>
    <t>Paxos Standard</t>
  </si>
  <si>
    <t>PAX</t>
  </si>
  <si>
    <t>Zilliqa</t>
  </si>
  <si>
    <t>ZIL</t>
  </si>
  <si>
    <t>NEAR Protocol</t>
  </si>
  <si>
    <t>NEAR</t>
  </si>
  <si>
    <t>Horizen</t>
  </si>
  <si>
    <t>ZEN</t>
  </si>
  <si>
    <t>Qtum</t>
  </si>
  <si>
    <t>QTUM</t>
  </si>
  <si>
    <t>TrueUSD</t>
  </si>
  <si>
    <t>TUSD</t>
  </si>
  <si>
    <t>Stacks</t>
  </si>
  <si>
    <t>STX</t>
  </si>
  <si>
    <t>Nexo</t>
  </si>
  <si>
    <t>NEXO</t>
  </si>
  <si>
    <t>Basic Attention Token</t>
  </si>
  <si>
    <t>BAT</t>
  </si>
  <si>
    <t>The Graph</t>
  </si>
  <si>
    <t>GRT</t>
  </si>
  <si>
    <t>Revain</t>
  </si>
  <si>
    <t>REV</t>
  </si>
  <si>
    <t>Bitcoin Gold</t>
  </si>
  <si>
    <t>BTG</t>
  </si>
  <si>
    <t>Nano</t>
  </si>
  <si>
    <t>NANO</t>
  </si>
  <si>
    <t>Ontology</t>
  </si>
  <si>
    <t>ONT</t>
  </si>
  <si>
    <t>Mdex</t>
  </si>
  <si>
    <t>MDX</t>
  </si>
  <si>
    <t>Bancor</t>
  </si>
  <si>
    <t>BNT</t>
  </si>
  <si>
    <t>DigiByte</t>
  </si>
  <si>
    <t>DGB</t>
  </si>
  <si>
    <t>Harmony</t>
  </si>
  <si>
    <t>OMG Network</t>
  </si>
  <si>
    <t>OMG</t>
  </si>
  <si>
    <t>HUSD</t>
  </si>
  <si>
    <t>SwissBorg</t>
  </si>
  <si>
    <t>CHSB</t>
  </si>
  <si>
    <t>Siacoin</t>
  </si>
  <si>
    <t>SC</t>
  </si>
  <si>
    <t>UMA</t>
  </si>
  <si>
    <t>0x</t>
  </si>
  <si>
    <t>ZRX</t>
  </si>
  <si>
    <t>OKB</t>
  </si>
  <si>
    <t>Fantom</t>
  </si>
  <si>
    <t>FTM</t>
  </si>
  <si>
    <t>Celo</t>
  </si>
  <si>
    <t>CELO</t>
  </si>
  <si>
    <t>BakeryToken</t>
  </si>
  <si>
    <t>BAKE</t>
  </si>
  <si>
    <t>Ankr</t>
  </si>
  <si>
    <t>ANKR</t>
  </si>
  <si>
    <t>Ravencoin</t>
  </si>
  <si>
    <t>RVN</t>
  </si>
  <si>
    <t>ICON</t>
  </si>
  <si>
    <t>ICX</t>
  </si>
  <si>
    <t>XinFin Network</t>
  </si>
  <si>
    <t>XDC</t>
  </si>
  <si>
    <t>Total Crypto Market Cap, USD:</t>
  </si>
  <si>
    <t>2021-05-31T17:40:08.000Z</t>
  </si>
  <si>
    <t>2021-05-31T17:41:02.000Z</t>
  </si>
  <si>
    <t>2021-05-31T17:40:11.000Z</t>
  </si>
  <si>
    <t>2021-05-31T17:40:13.000Z</t>
  </si>
  <si>
    <t>2021-05-31T17:41:03.000Z</t>
  </si>
  <si>
    <t>2021-05-31T17:41:05.000Z</t>
  </si>
  <si>
    <t>2021-05-31T17:41:08.000Z</t>
  </si>
  <si>
    <t>2021-05-31T17:40:10.000Z</t>
  </si>
  <si>
    <t>2021-05-31T17:40:09.000Z</t>
  </si>
  <si>
    <t>2021-05-31T17:40:12.000Z</t>
  </si>
  <si>
    <t>2021-05-31T17:41:07.000Z</t>
  </si>
  <si>
    <t>2021-05-31T17:41:06.000Z</t>
  </si>
  <si>
    <t>2021-05-31T17:41:04.000Z</t>
  </si>
  <si>
    <t>Market</t>
  </si>
  <si>
    <t>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</si>
</sst>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_-* #,##0.00000_-;\-* #,##0.00000_-;_-* &quot;-&quot;??_-;_-@_-"/>
    <numFmt numFmtId="166" formatCode="#,##0.00_ ;\-#,##0.00\ "/>
    <numFmt numFmtId="167" formatCode="_-* #,##0.0000000_-;\-* #,##0.0000000_-;_-* &quot;-&quot;??_-;_-@_-"/>
  </numFmts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2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theme="4" tint="0.79998168889431442"/>
      </left>
      <right style="thin">
        <color theme="4" tint="0.7999816888943144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8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 indent="1"/>
    </xf>
    <xf numFmtId="0" fontId="4" fillId="0" borderId="0" xfId="0" applyFont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5" fillId="2" borderId="5" xfId="0" applyFont="1" applyFill="1" applyBorder="1" applyAlignment="1">
      <alignment horizontal="center"/>
    </xf>
    <xf numFmtId="9" fontId="2" fillId="0" borderId="0" xfId="2" applyFont="1" applyBorder="1" applyAlignment="1">
      <alignment horizontal="right"/>
    </xf>
    <xf numFmtId="0" fontId="2" fillId="0" borderId="6" xfId="0" quotePrefix="1" applyFont="1" applyBorder="1" applyAlignment="1">
      <alignment horizontal="right"/>
    </xf>
    <xf numFmtId="0" fontId="2" fillId="0" borderId="7" xfId="0" quotePrefix="1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8" xfId="0" quotePrefix="1" applyFont="1" applyBorder="1" applyAlignment="1">
      <alignment horizontal="right"/>
    </xf>
    <xf numFmtId="0" fontId="2" fillId="0" borderId="9" xfId="0" quotePrefix="1" applyFont="1" applyBorder="1" applyAlignment="1">
      <alignment horizontal="right"/>
    </xf>
    <xf numFmtId="0" fontId="2" fillId="0" borderId="10" xfId="0" applyFont="1" applyBorder="1"/>
    <xf numFmtId="0" fontId="2" fillId="0" borderId="10" xfId="0" applyFont="1" applyBorder="1" applyAlignment="1">
      <alignment horizontal="right"/>
    </xf>
    <xf numFmtId="0" fontId="2" fillId="0" borderId="11" xfId="0" applyFont="1" applyBorder="1" applyAlignment="1">
      <alignment horizontal="right"/>
    </xf>
    <xf numFmtId="0" fontId="2" fillId="0" borderId="10" xfId="0" applyFont="1" applyBorder="1" applyAlignment="1">
      <alignment horizontal="left" indent="1"/>
    </xf>
    <xf numFmtId="0" fontId="2" fillId="0" borderId="12" xfId="0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43" fontId="1" fillId="0" borderId="0" xfId="1" applyFont="1" applyAlignment="1">
      <alignment horizontal="right"/>
    </xf>
    <xf numFmtId="164" fontId="2" fillId="0" borderId="14" xfId="1" applyNumberFormat="1" applyFont="1" applyBorder="1" applyAlignment="1">
      <alignment horizontal="right"/>
    </xf>
    <xf numFmtId="165" fontId="1" fillId="0" borderId="15" xfId="1" applyNumberFormat="1" applyFont="1" applyBorder="1" applyAlignment="1">
      <alignment horizontal="right"/>
    </xf>
    <xf numFmtId="43" fontId="1" fillId="0" borderId="16" xfId="1" applyFont="1" applyBorder="1" applyAlignment="1">
      <alignment horizontal="right"/>
    </xf>
    <xf numFmtId="43" fontId="1" fillId="0" borderId="17" xfId="1" applyFont="1" applyBorder="1" applyAlignment="1">
      <alignment horizontal="right"/>
    </xf>
    <xf numFmtId="43" fontId="1" fillId="0" borderId="18" xfId="1" applyFont="1" applyBorder="1" applyAlignment="1">
      <alignment horizontal="right"/>
    </xf>
    <xf numFmtId="43" fontId="6" fillId="0" borderId="15" xfId="1" applyFont="1" applyFill="1" applyBorder="1" applyAlignment="1">
      <alignment horizontal="left" indent="1"/>
    </xf>
    <xf numFmtId="0" fontId="1" fillId="0" borderId="16" xfId="0" applyFont="1" applyBorder="1" applyAlignment="1">
      <alignment horizontal="right"/>
    </xf>
    <xf numFmtId="0" fontId="1" fillId="0" borderId="18" xfId="0" applyFont="1" applyBorder="1"/>
    <xf numFmtId="164" fontId="2" fillId="0" borderId="19" xfId="1" applyNumberFormat="1" applyFont="1" applyBorder="1" applyAlignment="1">
      <alignment horizontal="right"/>
    </xf>
    <xf numFmtId="43" fontId="1" fillId="0" borderId="0" xfId="1" applyFont="1" applyFill="1" applyAlignment="1">
      <alignment horizontal="right"/>
    </xf>
    <xf numFmtId="43" fontId="1" fillId="0" borderId="20" xfId="1" applyFont="1" applyBorder="1" applyAlignment="1">
      <alignment horizontal="right"/>
    </xf>
    <xf numFmtId="43" fontId="1" fillId="0" borderId="21" xfId="1" applyFont="1" applyBorder="1" applyAlignment="1">
      <alignment horizontal="right"/>
    </xf>
    <xf numFmtId="43" fontId="1" fillId="0" borderId="0" xfId="1" applyFont="1" applyBorder="1" applyAlignment="1">
      <alignment horizontal="right"/>
    </xf>
    <xf numFmtId="43" fontId="1" fillId="0" borderId="22" xfId="1" applyFont="1" applyBorder="1" applyAlignment="1">
      <alignment horizontal="right"/>
    </xf>
    <xf numFmtId="43" fontId="6" fillId="0" borderId="20" xfId="1" applyFont="1" applyFill="1" applyBorder="1" applyAlignment="1">
      <alignment horizontal="left" indent="1"/>
    </xf>
    <xf numFmtId="0" fontId="1" fillId="0" borderId="21" xfId="0" applyFont="1" applyBorder="1" applyAlignment="1">
      <alignment horizontal="right"/>
    </xf>
    <xf numFmtId="0" fontId="1" fillId="0" borderId="22" xfId="0" applyFont="1" applyBorder="1"/>
    <xf numFmtId="0" fontId="1" fillId="4" borderId="0" xfId="0" applyFont="1" applyFill="1"/>
    <xf numFmtId="43" fontId="1" fillId="4" borderId="0" xfId="1" applyFont="1" applyFill="1" applyAlignment="1">
      <alignment horizontal="right"/>
    </xf>
    <xf numFmtId="164" fontId="2" fillId="4" borderId="19" xfId="1" applyNumberFormat="1" applyFont="1" applyFill="1" applyBorder="1" applyAlignment="1">
      <alignment horizontal="right"/>
    </xf>
    <xf numFmtId="43" fontId="1" fillId="4" borderId="20" xfId="1" applyFont="1" applyFill="1" applyBorder="1" applyAlignment="1">
      <alignment horizontal="right"/>
    </xf>
    <xf numFmtId="43" fontId="1" fillId="4" borderId="21" xfId="1" applyFont="1" applyFill="1" applyBorder="1" applyAlignment="1">
      <alignment horizontal="right"/>
    </xf>
    <xf numFmtId="43" fontId="1" fillId="4" borderId="0" xfId="1" applyFont="1" applyFill="1" applyBorder="1" applyAlignment="1">
      <alignment horizontal="right"/>
    </xf>
    <xf numFmtId="43" fontId="1" fillId="4" borderId="22" xfId="1" applyFont="1" applyFill="1" applyBorder="1" applyAlignment="1">
      <alignment horizontal="right"/>
    </xf>
    <xf numFmtId="166" fontId="1" fillId="0" borderId="21" xfId="1" applyNumberFormat="1" applyFont="1" applyBorder="1" applyAlignment="1">
      <alignment horizontal="right"/>
    </xf>
    <xf numFmtId="166" fontId="1" fillId="0" borderId="22" xfId="1" applyNumberFormat="1" applyFont="1" applyBorder="1" applyAlignment="1">
      <alignment horizontal="right"/>
    </xf>
    <xf numFmtId="167" fontId="2" fillId="4" borderId="19" xfId="1" applyNumberFormat="1" applyFont="1" applyFill="1" applyBorder="1" applyAlignment="1">
      <alignment horizontal="right"/>
    </xf>
    <xf numFmtId="165" fontId="1" fillId="4" borderId="0" xfId="1" applyNumberFormat="1" applyFont="1" applyFill="1" applyAlignment="1">
      <alignment horizontal="right"/>
    </xf>
    <xf numFmtId="43" fontId="2" fillId="4" borderId="19" xfId="1" applyFont="1" applyFill="1" applyBorder="1" applyAlignment="1">
      <alignment horizontal="right"/>
    </xf>
    <xf numFmtId="0" fontId="2" fillId="4" borderId="19" xfId="0" applyFont="1" applyFill="1" applyBorder="1"/>
    <xf numFmtId="0" fontId="1" fillId="4" borderId="20" xfId="0" applyFont="1" applyFill="1" applyBorder="1"/>
    <xf numFmtId="0" fontId="1" fillId="4" borderId="21" xfId="0" applyFont="1" applyFill="1" applyBorder="1"/>
    <xf numFmtId="0" fontId="1" fillId="4" borderId="22" xfId="0" applyFont="1" applyFill="1" applyBorder="1"/>
    <xf numFmtId="0" fontId="6" fillId="0" borderId="20" xfId="0" applyFont="1" applyBorder="1" applyAlignment="1">
      <alignment horizontal="left" indent="1"/>
    </xf>
    <xf numFmtId="0" fontId="2" fillId="4" borderId="23" xfId="0" applyFont="1" applyFill="1" applyBorder="1"/>
    <xf numFmtId="0" fontId="1" fillId="4" borderId="24" xfId="0" applyFont="1" applyFill="1" applyBorder="1"/>
    <xf numFmtId="0" fontId="1" fillId="4" borderId="25" xfId="0" applyFont="1" applyFill="1" applyBorder="1"/>
    <xf numFmtId="0" fontId="1" fillId="4" borderId="26" xfId="0" applyFont="1" applyFill="1" applyBorder="1"/>
    <xf numFmtId="0" fontId="1" fillId="4" borderId="27" xfId="0" applyFont="1" applyFill="1" applyBorder="1"/>
    <xf numFmtId="0" fontId="6" fillId="0" borderId="24" xfId="0" applyFont="1" applyBorder="1" applyAlignment="1">
      <alignment horizontal="left" indent="1"/>
    </xf>
    <xf numFmtId="0" fontId="1" fillId="0" borderId="25" xfId="0" applyFont="1" applyBorder="1" applyAlignment="1">
      <alignment horizontal="right"/>
    </xf>
    <xf numFmtId="0" fontId="1" fillId="0" borderId="27" xfId="0" applyFont="1" applyBorder="1"/>
    <xf numFmtId="43" fontId="1" fillId="0" borderId="0" xfId="1" applyFont="1" applyFill="1"/>
    <xf numFmtId="0" fontId="2" fillId="0" borderId="0" xfId="0" applyFont="1" applyBorder="1" applyAlignment="1">
      <alignment horizontal="right"/>
    </xf>
    <xf numFmtId="43" fontId="5" fillId="0" borderId="17" xfId="1" applyFont="1" applyBorder="1" applyAlignment="1">
      <alignment horizontal="right"/>
    </xf>
    <xf numFmtId="43" fontId="7" fillId="0" borderId="18" xfId="1" applyFont="1" applyBorder="1" applyAlignment="1">
      <alignment horizontal="right"/>
    </xf>
    <xf numFmtId="43" fontId="5" fillId="0" borderId="0" xfId="1" applyFont="1" applyBorder="1" applyAlignment="1">
      <alignment horizontal="right"/>
    </xf>
    <xf numFmtId="43" fontId="7" fillId="0" borderId="22" xfId="1" applyFont="1" applyBorder="1" applyAlignment="1">
      <alignment horizontal="right"/>
    </xf>
    <xf numFmtId="43" fontId="5" fillId="4" borderId="0" xfId="1" applyFont="1" applyFill="1" applyBorder="1" applyAlignment="1">
      <alignment horizontal="right"/>
    </xf>
    <xf numFmtId="43" fontId="7" fillId="4" borderId="22" xfId="1" applyFont="1" applyFill="1" applyBorder="1" applyAlignment="1">
      <alignment horizontal="right"/>
    </xf>
    <xf numFmtId="0" fontId="1" fillId="4" borderId="21" xfId="0" applyFont="1" applyFill="1" applyBorder="1" applyAlignment="1">
      <alignment horizontal="right"/>
    </xf>
    <xf numFmtId="0" fontId="5" fillId="4" borderId="0" xfId="0" applyFont="1" applyFill="1" applyBorder="1"/>
    <xf numFmtId="0" fontId="1" fillId="4" borderId="25" xfId="0" applyFont="1" applyFill="1" applyBorder="1" applyAlignment="1">
      <alignment horizontal="right"/>
    </xf>
    <xf numFmtId="0" fontId="5" fillId="4" borderId="26" xfId="0" applyFont="1" applyFill="1" applyBorder="1"/>
    <xf numFmtId="0" fontId="8" fillId="2" borderId="3" xfId="0" applyFont="1" applyFill="1" applyBorder="1" applyAlignment="1">
      <alignment horizontal="left"/>
    </xf>
    <xf numFmtId="0" fontId="8" fillId="2" borderId="28" xfId="0" applyFont="1" applyFill="1" applyBorder="1" applyAlignment="1">
      <alignment horizontal="left"/>
    </xf>
    <xf numFmtId="43" fontId="8" fillId="2" borderId="4" xfId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Analysis!$V$6:$V$9</c:f>
          <c:strCache>
            <c:ptCount val="4"/>
            <c:pt idx="0">
              <c:v>Increment</c:v>
            </c:pt>
            <c:pt idx="1">
              <c:v>@ 10 %</c:v>
            </c:pt>
            <c:pt idx="2">
              <c:v>BTC MC</c:v>
            </c:pt>
            <c:pt idx="3">
              <c:v>USD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rgbClr val="0000FF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Analysis!$V$6:$V$9</c:f>
              <c:strCache>
                <c:ptCount val="4"/>
                <c:pt idx="0">
                  <c:v>Increment</c:v>
                </c:pt>
                <c:pt idx="1">
                  <c:v>@ 10 %</c:v>
                </c:pt>
                <c:pt idx="2">
                  <c:v>BTC MC</c:v>
                </c:pt>
                <c:pt idx="3">
                  <c:v>USD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74-4F6B-922A-AC8381A428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Analysis!$U$13:$U$19</c:f>
              <c:strCache>
                <c:ptCount val="7"/>
                <c:pt idx="0">
                  <c:v> DOT </c:v>
                </c:pt>
                <c:pt idx="1">
                  <c:v> MATIC </c:v>
                </c:pt>
                <c:pt idx="2">
                  <c:v> ONE </c:v>
                </c:pt>
                <c:pt idx="3">
                  <c:v> HBAR </c:v>
                </c:pt>
                <c:pt idx="4">
                  <c:v> VET </c:v>
                </c:pt>
                <c:pt idx="5">
                  <c:v> SHIB </c:v>
                </c:pt>
                <c:pt idx="6">
                  <c:v> SOL </c:v>
                </c:pt>
              </c:strCache>
            </c:strRef>
          </c:cat>
          <c:val>
            <c:numRef>
              <c:f>Analysis!$V$13:$V$19</c:f>
              <c:numCache>
                <c:formatCode>#,##0.00_ ;\-#,##0.00\ </c:formatCode>
                <c:ptCount val="7"/>
                <c:pt idx="0">
                  <c:v>232.30577467266892</c:v>
                </c:pt>
                <c:pt idx="1">
                  <c:v>507.66267967728572</c:v>
                </c:pt>
                <c:pt idx="2">
                  <c:v>7306.5173555056081</c:v>
                </c:pt>
                <c:pt idx="3">
                  <c:v>3486.7705045606049</c:v>
                </c:pt>
                <c:pt idx="4">
                  <c:v>806.73071412906791</c:v>
                </c:pt>
                <c:pt idx="5">
                  <c:v>1936.1470241627119</c:v>
                </c:pt>
                <c:pt idx="6">
                  <c:v>689.78361983538264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74-4F6B-922A-AC8381A42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7789887"/>
        <c:axId val="557805695"/>
      </c:barChart>
      <c:catAx>
        <c:axId val="5577898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557805695"/>
        <c:crosses val="autoZero"/>
        <c:auto val="1"/>
        <c:lblAlgn val="ctr"/>
        <c:lblOffset val="100"/>
        <c:noMultiLvlLbl val="0"/>
      </c:catAx>
      <c:valAx>
        <c:axId val="557805695"/>
        <c:scaling>
          <c:orientation val="minMax"/>
        </c:scaling>
        <c:delete val="0"/>
        <c:axPos val="t"/>
        <c:numFmt formatCode="#,##0_ ;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55778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114300</xdr:rowOff>
        </xdr:from>
        <xdr:to>
          <xdr:col>12</xdr:col>
          <xdr:colOff>152401</xdr:colOff>
          <xdr:row>3</xdr:row>
          <xdr:rowOff>47625</xdr:rowOff>
        </xdr:to>
        <xdr:sp macro="" textlink="">
          <xdr:nvSpPr>
            <xdr:cNvPr id="1025" name="Optio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18DC2C9-8B76-4A48-AE27-1851E3CA7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28574</xdr:colOff>
          <xdr:row>3</xdr:row>
          <xdr:rowOff>123825</xdr:rowOff>
        </xdr:from>
        <xdr:to>
          <xdr:col>12</xdr:col>
          <xdr:colOff>628650</xdr:colOff>
          <xdr:row>5</xdr:row>
          <xdr:rowOff>85725</xdr:rowOff>
        </xdr:to>
        <xdr:sp macro="" textlink="">
          <xdr:nvSpPr>
            <xdr:cNvPr id="1026" name="Option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27CDA4E-5E16-477B-B2ED-5ACF9E574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250793</xdr:colOff>
      <xdr:row>2</xdr:row>
      <xdr:rowOff>79851</xdr:rowOff>
    </xdr:from>
    <xdr:ext cx="1418017" cy="38215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6BE810-5043-42FA-BF86-579E63E5AEE9}"/>
                </a:ext>
              </a:extLst>
            </xdr:cNvPr>
            <xdr:cNvSpPr txBox="1"/>
          </xdr:nvSpPr>
          <xdr:spPr>
            <a:xfrm>
              <a:off x="4489418" y="384651"/>
              <a:ext cx="1418017" cy="382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BO" sz="1200" b="0" i="1">
                        <a:latin typeface="Cambria Math" panose="02040503050406030204" pitchFamily="18" charset="0"/>
                      </a:rPr>
                      <m:t>𝑃𝑟𝑖𝑐𝑒</m:t>
                    </m:r>
                    <m:r>
                      <a:rPr lang="es-BO" sz="12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BO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BO" sz="1200" b="0" i="1">
                            <a:latin typeface="Cambria Math" panose="02040503050406030204" pitchFamily="18" charset="0"/>
                          </a:rPr>
                          <m:t>𝑀𝑎𝑟𝑘𝑒𝑡</m:t>
                        </m:r>
                        <m:r>
                          <a:rPr lang="es-BO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BO" sz="1200" b="0" i="1">
                            <a:latin typeface="Cambria Math" panose="02040503050406030204" pitchFamily="18" charset="0"/>
                          </a:rPr>
                          <m:t>𝐶𝑎𝑝</m:t>
                        </m:r>
                      </m:num>
                      <m:den>
                        <m:r>
                          <a:rPr lang="es-BO" sz="1200" b="0" i="1">
                            <a:latin typeface="Cambria Math" panose="02040503050406030204" pitchFamily="18" charset="0"/>
                          </a:rPr>
                          <m:t>𝑆𝑢𝑝𝑝𝑙𝑦</m:t>
                        </m:r>
                      </m:den>
                    </m:f>
                  </m:oMath>
                </m:oMathPara>
              </a14:m>
              <a:endParaRPr lang="es-BO" sz="12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6BE810-5043-42FA-BF86-579E63E5AEE9}"/>
                </a:ext>
              </a:extLst>
            </xdr:cNvPr>
            <xdr:cNvSpPr txBox="1"/>
          </xdr:nvSpPr>
          <xdr:spPr>
            <a:xfrm>
              <a:off x="4489418" y="384651"/>
              <a:ext cx="1418017" cy="382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BO" sz="1200" b="0" i="0">
                  <a:latin typeface="Cambria Math" panose="02040503050406030204" pitchFamily="18" charset="0"/>
                </a:rPr>
                <a:t>𝑃𝑟𝑖𝑐𝑒</a:t>
              </a:r>
              <a:r>
                <a:rPr lang="es-BO" sz="1200" i="0">
                  <a:latin typeface="Cambria Math" panose="02040503050406030204" pitchFamily="18" charset="0"/>
                </a:rPr>
                <a:t>=(</a:t>
              </a:r>
              <a:r>
                <a:rPr lang="es-BO" sz="1200" b="0" i="0">
                  <a:latin typeface="Cambria Math" panose="02040503050406030204" pitchFamily="18" charset="0"/>
                </a:rPr>
                <a:t>𝑀𝑎𝑟𝑘𝑒𝑡 𝐶𝑎𝑝)/𝑆𝑢𝑝𝑝𝑙𝑦</a:t>
              </a:r>
              <a:endParaRPr lang="es-BO" sz="1200"/>
            </a:p>
          </xdr:txBody>
        </xdr:sp>
      </mc:Fallback>
    </mc:AlternateContent>
    <xdr:clientData/>
  </xdr:oneCellAnchor>
  <xdr:twoCellAnchor>
    <xdr:from>
      <xdr:col>23</xdr:col>
      <xdr:colOff>104775</xdr:colOff>
      <xdr:row>5</xdr:row>
      <xdr:rowOff>47625</xdr:rowOff>
    </xdr:from>
    <xdr:to>
      <xdr:col>27</xdr:col>
      <xdr:colOff>104775</xdr:colOff>
      <xdr:row>29</xdr:row>
      <xdr:rowOff>257174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7F249A-AD74-4540-B822-99EEC2DC9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219074</xdr:colOff>
          <xdr:row>0</xdr:row>
          <xdr:rowOff>57150</xdr:rowOff>
        </xdr:from>
        <xdr:to>
          <xdr:col>3</xdr:col>
          <xdr:colOff>685799</xdr:colOff>
          <xdr:row>2</xdr:row>
          <xdr:rowOff>104776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0.%20Tracking%20NiceHash%20(29_Mayo_202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 Monthly"/>
      <sheetName val="BTC -&gt; USD"/>
      <sheetName val="Junio"/>
      <sheetName val="Mayo"/>
      <sheetName val="Abril"/>
      <sheetName val="3080 vs 3090"/>
      <sheetName val="ADA Binance"/>
      <sheetName val="Coins"/>
      <sheetName val="Coins Total"/>
      <sheetName val="Analys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V6" t="str">
            <v>Increment</v>
          </cell>
        </row>
        <row r="7">
          <cell r="V7" t="str">
            <v>@ 10 %</v>
          </cell>
        </row>
        <row r="8">
          <cell r="V8" t="str">
            <v>BTC MC</v>
          </cell>
        </row>
        <row r="9">
          <cell r="V9" t="str">
            <v>USD</v>
          </cell>
        </row>
        <row r="13">
          <cell r="U13" t="str">
            <v>DOT</v>
          </cell>
          <cell r="V13">
            <v>221.60472524648713</v>
          </cell>
        </row>
        <row r="14">
          <cell r="U14" t="str">
            <v>MATIC</v>
          </cell>
          <cell r="V14">
            <v>475.84802171202023</v>
          </cell>
        </row>
        <row r="15">
          <cell r="U15" t="str">
            <v>ONE</v>
          </cell>
          <cell r="V15">
            <v>7490.8536860638351</v>
          </cell>
        </row>
        <row r="16">
          <cell r="U16" t="str">
            <v>HBAR</v>
          </cell>
          <cell r="V16">
            <v>3531.6414686825055</v>
          </cell>
        </row>
        <row r="17">
          <cell r="U17" t="str">
            <v>VET</v>
          </cell>
          <cell r="V17">
            <v>849.70347359502966</v>
          </cell>
        </row>
        <row r="18">
          <cell r="U18" t="str">
            <v>SHIB</v>
          </cell>
          <cell r="V18">
            <v>2065.421764327109</v>
          </cell>
        </row>
        <row r="19">
          <cell r="U19" t="str">
            <v>SOL</v>
          </cell>
          <cell r="V19">
            <v>781.95646472593762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665260E-242B-4777-99DC-8D061529E1E6}" autoFormatId="16" applyNumberFormats="0" applyBorderFormats="0" applyFontFormats="0" applyPatternFormats="0" applyAlignmentFormats="0" applyWidthHeightFormats="0">
  <queryTableRefresh nextId="11">
    <queryTableFields count="10">
      <queryTableField id="1" name="Column1.id" tableColumnId="1"/>
      <queryTableField id="2" name="Column1.name" tableColumnId="2"/>
      <queryTableField id="3" name="Column1.symbol" tableColumnId="3"/>
      <queryTableField id="4" name="Column1.max_supply" tableColumnId="4"/>
      <queryTableField id="5" name="Column1.circulating_supply" tableColumnId="5"/>
      <queryTableField id="6" name="Column1.total_supply" tableColumnId="6"/>
      <queryTableField id="7" name="price" tableColumnId="7"/>
      <queryTableField id="8" name="volume_24h" tableColumnId="8"/>
      <queryTableField id="9" name="market_cap" tableColumnId="9"/>
      <queryTableField id="10" name="last_updated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4943B2-FF11-44BD-AC9D-774B0531AB9F}" name="latest_start_1_limit_100_CMC_PRO_API_KEY_aad013ad_d101_4443_8919_2c4a17f84c1c" displayName="latest_start_1_limit_100_CMC_PRO_API_KEY_aad013ad_d101_4443_8919_2c4a17f84c1c" ref="A1:J101" tableType="queryTable" totalsRowShown="0">
  <autoFilter ref="A1:J101" xr:uid="{4B92815D-437E-4D32-8465-84EE6F150769}"/>
  <sortState xmlns:xlrd2="http://schemas.microsoft.com/office/spreadsheetml/2017/richdata2" ref="A2:J101">
    <sortCondition descending="1" ref="I1:I101"/>
  </sortState>
  <tableColumns count="10">
    <tableColumn id="1" xr3:uid="{C991720D-99AF-4123-B2B1-973772DD1187}" uniqueName="1" name="Column1.id" queryTableFieldId="1"/>
    <tableColumn id="2" xr3:uid="{7009082C-4344-401B-BE21-EBF49A6A5A55}" uniqueName="2" name="Column1.name" queryTableFieldId="2"/>
    <tableColumn id="3" xr3:uid="{CD590085-C46F-44D5-9B31-43137DCFE3C2}" uniqueName="3" name="Column1.symbol" queryTableFieldId="3"/>
    <tableColumn id="4" xr3:uid="{D8475EF4-F511-4A30-BD83-623B4E2CB716}" uniqueName="4" name="Column1.max_supply" queryTableFieldId="4"/>
    <tableColumn id="5" xr3:uid="{9E460534-B810-4078-BE75-FD096EBA1918}" uniqueName="5" name="Column1.circulating_supply" queryTableFieldId="5"/>
    <tableColumn id="6" xr3:uid="{7DA3901A-BD83-4C2C-A425-CA0BBA5F6506}" uniqueName="6" name="Column1.total_supply" queryTableFieldId="6"/>
    <tableColumn id="7" xr3:uid="{B56330AF-C951-4B1A-B2E3-07DFC2F37DCF}" uniqueName="7" name="price" queryTableFieldId="7"/>
    <tableColumn id="8" xr3:uid="{992AD346-75C4-4782-AD6E-CCC7EBD30D4C}" uniqueName="8" name="volume_24h" queryTableFieldId="8"/>
    <tableColumn id="9" xr3:uid="{D8875E64-6314-4299-9B04-9CFCF06C41BC}" uniqueName="9" name="market_cap" queryTableFieldId="9"/>
    <tableColumn id="10" xr3:uid="{A7EB49B8-A9DF-4862-BC0E-7AF94B0DBF5F}" uniqueName="10" name="last_updated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7ED07-ACC6-402F-A7DF-B72352D10B4F}">
  <sheetPr codeName="Sheet1"/>
  <dimension ref="A1:W43"/>
  <sheetViews>
    <sheetView showGridLines="0" tabSelected="1" workbookViewId="0">
      <selection activeCell="F2" sqref="F2"/>
    </sheetView>
  </sheetViews>
  <sheetFormatPr defaultRowHeight="12" x14ac:dyDescent="0.2"/>
  <cols>
    <col min="1" max="1" width="9.42578125" style="1" customWidth="1"/>
    <col min="2" max="2" width="5.85546875" style="1" customWidth="1"/>
    <col min="3" max="3" width="11.28515625" style="2" customWidth="1"/>
    <col min="4" max="4" width="13.85546875" style="2" customWidth="1"/>
    <col min="5" max="5" width="10.85546875" style="2" customWidth="1"/>
    <col min="6" max="6" width="10.5703125" style="2" customWidth="1"/>
    <col min="7" max="7" width="8.7109375" style="2" customWidth="1"/>
    <col min="8" max="8" width="8.28515625" style="2" customWidth="1"/>
    <col min="9" max="9" width="9.5703125" style="2" customWidth="1"/>
    <col min="10" max="10" width="1.7109375" style="2" customWidth="1"/>
    <col min="11" max="14" width="10.140625" style="2" customWidth="1"/>
    <col min="15" max="15" width="1.7109375" style="2" customWidth="1"/>
    <col min="16" max="16" width="12.42578125" style="2" customWidth="1"/>
    <col min="17" max="20" width="11.7109375" style="2" customWidth="1"/>
    <col min="21" max="21" width="6.7109375" style="3" customWidth="1"/>
    <col min="22" max="22" width="8.7109375" style="2" customWidth="1"/>
    <col min="23" max="23" width="8.7109375" style="1" customWidth="1"/>
    <col min="24" max="16384" width="9.140625" style="1"/>
  </cols>
  <sheetData>
    <row r="1" spans="1:23" x14ac:dyDescent="0.2">
      <c r="C1" s="1"/>
      <c r="D1" s="1"/>
      <c r="E1" s="1"/>
      <c r="G1" s="1"/>
      <c r="H1" s="1"/>
      <c r="I1" s="1"/>
      <c r="J1" s="1"/>
      <c r="K1" s="1"/>
      <c r="L1" s="1"/>
      <c r="M1" s="1"/>
      <c r="N1" s="1"/>
      <c r="O1" s="1"/>
    </row>
    <row r="3" spans="1:23" x14ac:dyDescent="0.2">
      <c r="C3" s="1"/>
    </row>
    <row r="4" spans="1:23" ht="12.75" x14ac:dyDescent="0.2">
      <c r="A4" s="80" t="s">
        <v>229</v>
      </c>
      <c r="B4" s="81"/>
      <c r="C4" s="81"/>
      <c r="D4" s="82">
        <f>SUM('CoinMarketCap Data'!I2:I200)/1000000</f>
        <v>1573363.3969297593</v>
      </c>
    </row>
    <row r="5" spans="1:23" x14ac:dyDescent="0.2">
      <c r="C5" s="4"/>
      <c r="P5" s="5" t="s">
        <v>0</v>
      </c>
    </row>
    <row r="6" spans="1:23" x14ac:dyDescent="0.2">
      <c r="C6" s="4" t="s">
        <v>1</v>
      </c>
      <c r="P6" s="6" t="s">
        <v>2</v>
      </c>
      <c r="Q6" s="7" t="s">
        <v>3</v>
      </c>
      <c r="R6" s="7"/>
      <c r="S6" s="7"/>
      <c r="T6" s="7"/>
      <c r="V6" s="8" t="s">
        <v>4</v>
      </c>
      <c r="W6" s="9"/>
    </row>
    <row r="7" spans="1:23" x14ac:dyDescent="0.2">
      <c r="B7" s="10"/>
      <c r="C7" s="11" t="s">
        <v>5</v>
      </c>
      <c r="D7" s="11" t="s">
        <v>6</v>
      </c>
      <c r="E7" s="11"/>
      <c r="F7" s="11" t="s">
        <v>7</v>
      </c>
      <c r="G7" s="69" t="s">
        <v>243</v>
      </c>
      <c r="H7" s="11" t="s">
        <v>8</v>
      </c>
      <c r="I7" s="11"/>
      <c r="K7" s="7" t="s">
        <v>9</v>
      </c>
      <c r="L7" s="7"/>
      <c r="M7" s="7"/>
      <c r="N7" s="7"/>
      <c r="P7" s="12">
        <v>100</v>
      </c>
      <c r="Q7" s="13">
        <f>+K8</f>
        <v>1</v>
      </c>
      <c r="R7" s="13">
        <f t="shared" ref="R7:T7" si="0">+L8</f>
        <v>0.5</v>
      </c>
      <c r="S7" s="13">
        <f t="shared" si="0"/>
        <v>0.1</v>
      </c>
      <c r="T7" s="13">
        <f t="shared" si="0"/>
        <v>0.05</v>
      </c>
      <c r="V7" s="14" t="s">
        <v>10</v>
      </c>
      <c r="W7" s="15" t="s">
        <v>11</v>
      </c>
    </row>
    <row r="8" spans="1:23" x14ac:dyDescent="0.2">
      <c r="B8" s="10"/>
      <c r="C8" s="11" t="s">
        <v>8</v>
      </c>
      <c r="D8" s="11" t="s">
        <v>12</v>
      </c>
      <c r="E8" s="11" t="s">
        <v>13</v>
      </c>
      <c r="F8" s="11" t="s">
        <v>12</v>
      </c>
      <c r="G8" s="69" t="s">
        <v>244</v>
      </c>
      <c r="H8" s="11" t="s">
        <v>14</v>
      </c>
      <c r="I8" s="11" t="s">
        <v>15</v>
      </c>
      <c r="K8" s="13">
        <v>1</v>
      </c>
      <c r="L8" s="13">
        <v>0.5</v>
      </c>
      <c r="M8" s="13">
        <v>0.1</v>
      </c>
      <c r="N8" s="13">
        <v>0.05</v>
      </c>
      <c r="P8" s="16" t="s">
        <v>16</v>
      </c>
      <c r="Q8" s="11" t="s">
        <v>17</v>
      </c>
      <c r="R8" s="11" t="s">
        <v>17</v>
      </c>
      <c r="S8" s="11" t="s">
        <v>17</v>
      </c>
      <c r="T8" s="11" t="s">
        <v>17</v>
      </c>
      <c r="V8" s="17" t="s">
        <v>18</v>
      </c>
      <c r="W8" s="18" t="s">
        <v>18</v>
      </c>
    </row>
    <row r="9" spans="1:23" x14ac:dyDescent="0.2">
      <c r="A9" s="19" t="s">
        <v>16</v>
      </c>
      <c r="B9" s="19" t="s">
        <v>16</v>
      </c>
      <c r="C9" s="20" t="s">
        <v>19</v>
      </c>
      <c r="D9" s="20" t="s">
        <v>20</v>
      </c>
      <c r="E9" s="20" t="s">
        <v>2</v>
      </c>
      <c r="F9" s="20" t="s">
        <v>20</v>
      </c>
      <c r="G9" s="20" t="s">
        <v>21</v>
      </c>
      <c r="H9" s="20" t="s">
        <v>21</v>
      </c>
      <c r="I9" s="20" t="s">
        <v>2</v>
      </c>
      <c r="K9" s="20" t="s">
        <v>17</v>
      </c>
      <c r="L9" s="20" t="s">
        <v>17</v>
      </c>
      <c r="M9" s="20" t="s">
        <v>17</v>
      </c>
      <c r="N9" s="20" t="s">
        <v>17</v>
      </c>
      <c r="P9" s="21" t="s">
        <v>22</v>
      </c>
      <c r="Q9" s="20" t="s">
        <v>2</v>
      </c>
      <c r="R9" s="20" t="s">
        <v>2</v>
      </c>
      <c r="S9" s="20" t="s">
        <v>2</v>
      </c>
      <c r="T9" s="20" t="s">
        <v>2</v>
      </c>
      <c r="U9" s="22" t="s">
        <v>16</v>
      </c>
      <c r="V9" s="23" t="s">
        <v>2</v>
      </c>
      <c r="W9" s="24" t="s">
        <v>2</v>
      </c>
    </row>
    <row r="10" spans="1:23" ht="18.75" customHeight="1" x14ac:dyDescent="0.2">
      <c r="A10" s="1" t="s">
        <v>23</v>
      </c>
      <c r="B10" s="1" t="s">
        <v>24</v>
      </c>
      <c r="C10" s="25">
        <v>689372.0851656372</v>
      </c>
      <c r="D10" s="25">
        <v>18.722937000000002</v>
      </c>
      <c r="E10" s="26">
        <f>C10/D10</f>
        <v>36819.655226401563</v>
      </c>
      <c r="F10" s="25">
        <v>21</v>
      </c>
      <c r="G10" s="28">
        <f>C10/$D$4*100</f>
        <v>43.815185132110543</v>
      </c>
      <c r="H10" s="70">
        <f>+C10/$C$10*100</f>
        <v>100</v>
      </c>
      <c r="I10" s="71">
        <f>(H10/100)*$C$10/D10</f>
        <v>36819.655226401563</v>
      </c>
      <c r="K10" s="25">
        <f>$C$10/$D10*K$8</f>
        <v>36819.655226401563</v>
      </c>
      <c r="L10" s="25">
        <f>$C$10/$D10*L$8</f>
        <v>18409.827613200781</v>
      </c>
      <c r="M10" s="25">
        <f>$C$10/$D10*M$8</f>
        <v>3681.9655226401565</v>
      </c>
      <c r="N10" s="25">
        <f>$C$10/$D10*N$8</f>
        <v>1840.9827613200782</v>
      </c>
      <c r="P10" s="27">
        <f>$P$7/E10</f>
        <v>2.7159406948573197E-3</v>
      </c>
      <c r="Q10" s="28">
        <f>P10*K10</f>
        <v>100</v>
      </c>
      <c r="R10" s="29">
        <f>P10*L10</f>
        <v>50</v>
      </c>
      <c r="S10" s="29">
        <f>P10*M10</f>
        <v>10</v>
      </c>
      <c r="T10" s="30">
        <f>P10*N10</f>
        <v>5</v>
      </c>
      <c r="U10" s="31" t="str">
        <f>B10</f>
        <v>BTC</v>
      </c>
      <c r="V10" s="32"/>
      <c r="W10" s="33"/>
    </row>
    <row r="11" spans="1:23" ht="18.75" customHeight="1" x14ac:dyDescent="0.2">
      <c r="A11" s="1" t="s">
        <v>25</v>
      </c>
      <c r="B11" s="1" t="s">
        <v>26</v>
      </c>
      <c r="C11" s="25">
        <v>301484.21731626772</v>
      </c>
      <c r="D11" s="25">
        <v>116.10104881149999</v>
      </c>
      <c r="E11" s="34">
        <f>C11/D11</f>
        <v>2596.7398262332081</v>
      </c>
      <c r="F11" s="35">
        <v>0</v>
      </c>
      <c r="G11" s="37">
        <f>C11/$D$4*100</f>
        <v>19.161766309333245</v>
      </c>
      <c r="H11" s="72">
        <f>+C11/$C$10*100</f>
        <v>43.733162946948937</v>
      </c>
      <c r="I11" s="73">
        <f>(H11/100)*$C$10/D11</f>
        <v>2596.7398262332081</v>
      </c>
      <c r="K11" s="25">
        <f>$C$10/$D11*K$8</f>
        <v>5937.6904190150071</v>
      </c>
      <c r="L11" s="25">
        <f>$C$10/$D11*L$8</f>
        <v>2968.8452095075036</v>
      </c>
      <c r="M11" s="25">
        <f>$C$10/$D11*M$8</f>
        <v>593.76904190150071</v>
      </c>
      <c r="N11" s="25">
        <f>$C$10/$D11*N$8</f>
        <v>296.88452095075036</v>
      </c>
      <c r="P11" s="36">
        <f>$P$7/E11</f>
        <v>3.8509826433038734E-2</v>
      </c>
      <c r="Q11" s="37">
        <f>P11*K11</f>
        <v>228.65942744938496</v>
      </c>
      <c r="R11" s="38">
        <f>P11*L11</f>
        <v>114.32971372469248</v>
      </c>
      <c r="S11" s="38">
        <f>P11*M11</f>
        <v>22.865942744938497</v>
      </c>
      <c r="T11" s="39">
        <f>P11*N11</f>
        <v>11.432971372469249</v>
      </c>
      <c r="U11" s="40" t="str">
        <f>B11</f>
        <v>ETH</v>
      </c>
      <c r="V11" s="41"/>
      <c r="W11" s="42"/>
    </row>
    <row r="12" spans="1:23" ht="18.75" customHeight="1" x14ac:dyDescent="0.2">
      <c r="A12" s="43" t="s">
        <v>27</v>
      </c>
      <c r="B12" s="43" t="s">
        <v>28</v>
      </c>
      <c r="C12" s="44">
        <v>52741.828194302529</v>
      </c>
      <c r="D12" s="44">
        <v>31948.309440747798</v>
      </c>
      <c r="E12" s="45">
        <f>C12/D12</f>
        <v>1.65084879662002</v>
      </c>
      <c r="F12" s="44">
        <v>45000</v>
      </c>
      <c r="G12" s="47">
        <f>C12/$D$4*100</f>
        <v>3.3521707888477787</v>
      </c>
      <c r="H12" s="74">
        <f>+C12/$C$10*100</f>
        <v>7.6507055230746861</v>
      </c>
      <c r="I12" s="75">
        <f>(H12/100)*$C$10/D12</f>
        <v>1.65084879662002</v>
      </c>
      <c r="K12" s="44">
        <f>$C$10/$D12*K$8</f>
        <v>21.577732820078175</v>
      </c>
      <c r="L12" s="44">
        <f>$C$10/$D12*L$8</f>
        <v>10.788866410039088</v>
      </c>
      <c r="M12" s="44">
        <f>$C$10/$D12*M$8</f>
        <v>2.1577732820078177</v>
      </c>
      <c r="N12" s="44">
        <f>$C$10/$D12*N$8</f>
        <v>1.0788866410039089</v>
      </c>
      <c r="P12" s="46">
        <f>$P$7/E12</f>
        <v>60.574899533344272</v>
      </c>
      <c r="Q12" s="47">
        <f>P12*K12</f>
        <v>1307.0689977335808</v>
      </c>
      <c r="R12" s="48">
        <f>P12*L12</f>
        <v>653.53449886679039</v>
      </c>
      <c r="S12" s="48">
        <f>P12*M12</f>
        <v>130.70689977335809</v>
      </c>
      <c r="T12" s="49">
        <f>P12*N12</f>
        <v>65.353449886679044</v>
      </c>
      <c r="U12" s="40" t="str">
        <f>B12</f>
        <v>ADA</v>
      </c>
      <c r="V12" s="50">
        <f>(S12-$P$7)</f>
        <v>30.706899773358089</v>
      </c>
      <c r="W12" s="51">
        <f>(T12-$P$7)</f>
        <v>-34.646550113320956</v>
      </c>
    </row>
    <row r="13" spans="1:23" ht="18.75" customHeight="1" x14ac:dyDescent="0.2">
      <c r="A13" s="43" t="s">
        <v>29</v>
      </c>
      <c r="B13" s="43" t="s">
        <v>30</v>
      </c>
      <c r="C13" s="44">
        <v>20745.11301660915</v>
      </c>
      <c r="D13" s="44">
        <v>943.39626503317004</v>
      </c>
      <c r="E13" s="45">
        <f t="shared" ref="E13:E19" si="1">C13/D13</f>
        <v>21.989818897448938</v>
      </c>
      <c r="F13" s="44">
        <v>0</v>
      </c>
      <c r="G13" s="47">
        <f>C13/$D$4*100</f>
        <v>1.3185201242822155</v>
      </c>
      <c r="H13" s="74">
        <f>+C13/$C$10*100</f>
        <v>3.0092766247743654</v>
      </c>
      <c r="I13" s="75">
        <f>(H13/100)*$C$10/D13</f>
        <v>21.989818897448941</v>
      </c>
      <c r="K13" s="44">
        <f>$C$10/$D13*K$8</f>
        <v>730.73438036284642</v>
      </c>
      <c r="L13" s="44">
        <f>$C$10/$D13*L$8</f>
        <v>365.36719018142321</v>
      </c>
      <c r="M13" s="44">
        <f>$C$10/$D13*M$8</f>
        <v>73.073438036284642</v>
      </c>
      <c r="N13" s="44">
        <f>$C$10/$D13*N$8</f>
        <v>36.536719018142321</v>
      </c>
      <c r="P13" s="46">
        <f>$P$7/E13</f>
        <v>4.5475590529579621</v>
      </c>
      <c r="Q13" s="47">
        <f>P13*K13</f>
        <v>3323.0577467266889</v>
      </c>
      <c r="R13" s="48">
        <f>P13*L13</f>
        <v>1661.5288733633445</v>
      </c>
      <c r="S13" s="48">
        <f>P13*M13</f>
        <v>332.30577467266892</v>
      </c>
      <c r="T13" s="49">
        <f>P13*N13</f>
        <v>166.15288733633446</v>
      </c>
      <c r="U13" s="40" t="str">
        <f>B13</f>
        <v>DOT</v>
      </c>
      <c r="V13" s="50">
        <f t="shared" ref="V13:W19" si="2">(S13-$P$7)</f>
        <v>232.30577467266892</v>
      </c>
      <c r="W13" s="51">
        <f t="shared" si="2"/>
        <v>66.152887336334459</v>
      </c>
    </row>
    <row r="14" spans="1:23" ht="18.75" customHeight="1" x14ac:dyDescent="0.2">
      <c r="A14" s="43" t="s">
        <v>31</v>
      </c>
      <c r="B14" s="43" t="s">
        <v>32</v>
      </c>
      <c r="C14" s="44">
        <v>11344.650711999382</v>
      </c>
      <c r="D14" s="44">
        <v>6211.5900529999999</v>
      </c>
      <c r="E14" s="45">
        <f t="shared" si="1"/>
        <v>1.8263682270082002</v>
      </c>
      <c r="F14" s="44">
        <v>10000</v>
      </c>
      <c r="G14" s="47">
        <f>C14/$D$4*100</f>
        <v>0.72104453008994518</v>
      </c>
      <c r="H14" s="74">
        <f>+C14/$C$10*100</f>
        <v>1.645649853848314</v>
      </c>
      <c r="I14" s="75">
        <f>(H14/100)*$C$10/D14</f>
        <v>1.8263682270082005</v>
      </c>
      <c r="K14" s="44">
        <f>$C$10/$D14*K$8</f>
        <v>110.98158109012562</v>
      </c>
      <c r="L14" s="44">
        <f>$C$10/$D14*L$8</f>
        <v>55.490790545062808</v>
      </c>
      <c r="M14" s="44">
        <f>$C$10/$D14*M$8</f>
        <v>11.098158109012562</v>
      </c>
      <c r="N14" s="44">
        <f>$C$10/$D14*N$8</f>
        <v>5.5490790545062811</v>
      </c>
      <c r="P14" s="46">
        <f>$P$7/E14</f>
        <v>54.753471135342416</v>
      </c>
      <c r="Q14" s="47">
        <f>P14*K14</f>
        <v>6076.6267967728563</v>
      </c>
      <c r="R14" s="48">
        <f>P14*L14</f>
        <v>3038.3133983864282</v>
      </c>
      <c r="S14" s="48">
        <f>P14*M14</f>
        <v>607.66267967728572</v>
      </c>
      <c r="T14" s="49">
        <f>P14*N14</f>
        <v>303.83133983864286</v>
      </c>
      <c r="U14" s="40" t="str">
        <f>B14</f>
        <v>MATIC</v>
      </c>
      <c r="V14" s="50">
        <f t="shared" si="2"/>
        <v>507.66267967728572</v>
      </c>
      <c r="W14" s="51">
        <f t="shared" si="2"/>
        <v>203.83133983864286</v>
      </c>
    </row>
    <row r="15" spans="1:23" ht="18.75" customHeight="1" x14ac:dyDescent="0.2">
      <c r="A15" s="43" t="s">
        <v>33</v>
      </c>
      <c r="B15" s="43" t="s">
        <v>34</v>
      </c>
      <c r="C15" s="44">
        <v>930.76415280819538</v>
      </c>
      <c r="D15" s="44">
        <v>9507.1325517931236</v>
      </c>
      <c r="E15" s="45">
        <f t="shared" si="1"/>
        <v>9.7901669902840008E-2</v>
      </c>
      <c r="F15" s="44">
        <v>12600</v>
      </c>
      <c r="G15" s="47">
        <f>C15/$D$4*100</f>
        <v>5.9157608129468138E-2</v>
      </c>
      <c r="H15" s="74">
        <f>+C15/$C$10*100</f>
        <v>0.13501622314523487</v>
      </c>
      <c r="I15" s="75">
        <f>(H15/100)*$C$10/D15</f>
        <v>9.7901669902839994E-2</v>
      </c>
      <c r="K15" s="44">
        <f>$C$10/$D15*K$8</f>
        <v>72.511041726836552</v>
      </c>
      <c r="L15" s="44">
        <f>$C$10/$D15*L$8</f>
        <v>36.255520863418276</v>
      </c>
      <c r="M15" s="44">
        <f>$C$10/$D15*M$8</f>
        <v>7.2511041726836556</v>
      </c>
      <c r="N15" s="44">
        <f>$C$10/$D15*N$8</f>
        <v>3.6255520863418278</v>
      </c>
      <c r="P15" s="46">
        <f>$P$7/E15</f>
        <v>1021.4330368342279</v>
      </c>
      <c r="Q15" s="47">
        <f>P15*K15</f>
        <v>74065.17355505607</v>
      </c>
      <c r="R15" s="48">
        <f>P15*L15</f>
        <v>37032.586777528035</v>
      </c>
      <c r="S15" s="48">
        <f>P15*M15</f>
        <v>7406.5173555056081</v>
      </c>
      <c r="T15" s="49">
        <f>P15*N15</f>
        <v>3703.258677752804</v>
      </c>
      <c r="U15" s="40" t="str">
        <f>B15</f>
        <v>ONE</v>
      </c>
      <c r="V15" s="50">
        <f t="shared" si="2"/>
        <v>7306.5173555056081</v>
      </c>
      <c r="W15" s="51">
        <f t="shared" si="2"/>
        <v>3603.258677752804</v>
      </c>
    </row>
    <row r="16" spans="1:23" ht="18.75" customHeight="1" x14ac:dyDescent="0.2">
      <c r="A16" s="43"/>
      <c r="B16" s="43" t="s">
        <v>35</v>
      </c>
      <c r="C16" s="44">
        <v>1921.9854860775056</v>
      </c>
      <c r="D16" s="44">
        <v>8426.9650139999994</v>
      </c>
      <c r="E16" s="45">
        <f t="shared" si="1"/>
        <v>0.22807564560721999</v>
      </c>
      <c r="F16" s="44">
        <v>50000</v>
      </c>
      <c r="G16" s="47">
        <f>C16/$D$4*100</f>
        <v>0.12215776023695751</v>
      </c>
      <c r="H16" s="74">
        <f>+C16/$C$10*100</f>
        <v>0.2788023372915811</v>
      </c>
      <c r="I16" s="75">
        <f>(H16/100)*$C$10/D16</f>
        <v>0.22807564560721999</v>
      </c>
      <c r="K16" s="44">
        <f>$C$10/$D16*K$8</f>
        <v>81.805499847259398</v>
      </c>
      <c r="L16" s="44">
        <f>$C$10/$D16*L$8</f>
        <v>40.902749923629699</v>
      </c>
      <c r="M16" s="44">
        <f>$C$10/$D16*M$8</f>
        <v>8.1805499847259409</v>
      </c>
      <c r="N16" s="44">
        <f>$C$10/$D16*N$8</f>
        <v>4.0902749923629704</v>
      </c>
      <c r="P16" s="46">
        <f>$P$7/E16</f>
        <v>438.45102239550295</v>
      </c>
      <c r="Q16" s="47">
        <f>P16*K16</f>
        <v>35867.705045606046</v>
      </c>
      <c r="R16" s="48">
        <f>P16*L16</f>
        <v>17933.852522803023</v>
      </c>
      <c r="S16" s="48">
        <f>P16*M16</f>
        <v>3586.7705045606049</v>
      </c>
      <c r="T16" s="49">
        <f>P16*N16</f>
        <v>1793.3852522803024</v>
      </c>
      <c r="U16" s="40" t="str">
        <f>B16</f>
        <v>HBAR</v>
      </c>
      <c r="V16" s="50">
        <f t="shared" si="2"/>
        <v>3486.7705045606049</v>
      </c>
      <c r="W16" s="51">
        <f t="shared" si="2"/>
        <v>1693.3852522803024</v>
      </c>
    </row>
    <row r="17" spans="1:23" ht="18.75" customHeight="1" x14ac:dyDescent="0.2">
      <c r="A17" s="43"/>
      <c r="B17" s="43" t="s">
        <v>36</v>
      </c>
      <c r="C17" s="44">
        <v>7602.8315179307929</v>
      </c>
      <c r="D17" s="44">
        <v>64315.576989000001</v>
      </c>
      <c r="E17" s="45">
        <f t="shared" si="1"/>
        <v>0.11821135522473999</v>
      </c>
      <c r="F17" s="44">
        <v>86712.634466000003</v>
      </c>
      <c r="G17" s="47">
        <f>C17/$D$4*100</f>
        <v>0.48322158331424631</v>
      </c>
      <c r="H17" s="74">
        <f>+C17/$C$10*100</f>
        <v>1.1028632695656717</v>
      </c>
      <c r="I17" s="75">
        <f>(H17/100)*$C$10/D17</f>
        <v>0.11821135522473999</v>
      </c>
      <c r="K17" s="44">
        <f>$C$10/$D17*K$8</f>
        <v>10.718586654109341</v>
      </c>
      <c r="L17" s="44">
        <f>$C$10/$D17*L$8</f>
        <v>5.3592933270546705</v>
      </c>
      <c r="M17" s="44">
        <f>$C$10/$D17*M$8</f>
        <v>1.0718586654109341</v>
      </c>
      <c r="N17" s="44">
        <f>$C$10/$D17*N$8</f>
        <v>0.53592933270546705</v>
      </c>
      <c r="P17" s="46">
        <f>$P$7/E17</f>
        <v>845.94242075884256</v>
      </c>
      <c r="Q17" s="47">
        <f>P17*K17</f>
        <v>9067.3071412906793</v>
      </c>
      <c r="R17" s="48">
        <f>P17*L17</f>
        <v>4533.6535706453396</v>
      </c>
      <c r="S17" s="48">
        <f>P17*M17</f>
        <v>906.73071412906791</v>
      </c>
      <c r="T17" s="49">
        <f>P17*N17</f>
        <v>453.36535706453395</v>
      </c>
      <c r="U17" s="40" t="str">
        <f>B17</f>
        <v>VET</v>
      </c>
      <c r="V17" s="50">
        <f t="shared" si="2"/>
        <v>806.73071412906791</v>
      </c>
      <c r="W17" s="51">
        <f t="shared" si="2"/>
        <v>353.36535706453395</v>
      </c>
    </row>
    <row r="18" spans="1:23" ht="18.75" customHeight="1" x14ac:dyDescent="0.2">
      <c r="A18" s="43"/>
      <c r="B18" s="43" t="s">
        <v>37</v>
      </c>
      <c r="C18" s="44">
        <v>3385.6694874433997</v>
      </c>
      <c r="D18" s="44">
        <v>394796000</v>
      </c>
      <c r="E18" s="52">
        <f t="shared" si="1"/>
        <v>8.5757441499999993E-6</v>
      </c>
      <c r="F18" s="44">
        <v>0</v>
      </c>
      <c r="G18" s="47">
        <f>C18/$D$4*100</f>
        <v>0.21518674541750182</v>
      </c>
      <c r="H18" s="74">
        <f>+C18/$C$10*100</f>
        <v>0.49112367040941557</v>
      </c>
      <c r="I18" s="75">
        <f>(H18/100)*$C$10/D18</f>
        <v>8.5757441499999993E-6</v>
      </c>
      <c r="K18" s="53">
        <f>$C$10/$D18*K$8</f>
        <v>1.7461475931003282E-3</v>
      </c>
      <c r="L18" s="53">
        <f>$C$10/$D18*L$8</f>
        <v>8.7307379655016408E-4</v>
      </c>
      <c r="M18" s="53">
        <f>$C$10/$D18*M$8</f>
        <v>1.7461475931003284E-4</v>
      </c>
      <c r="N18" s="53">
        <f>$C$10/$D18*N$8</f>
        <v>8.7307379655016419E-5</v>
      </c>
      <c r="P18" s="46">
        <f>$P$7/E18</f>
        <v>11660795.640690845</v>
      </c>
      <c r="Q18" s="47">
        <f>P18*K18</f>
        <v>20361.470241627118</v>
      </c>
      <c r="R18" s="48">
        <f>P18*L18</f>
        <v>10180.735120813559</v>
      </c>
      <c r="S18" s="48">
        <f>P18*M18</f>
        <v>2036.1470241627119</v>
      </c>
      <c r="T18" s="49">
        <f>P18*N18</f>
        <v>1018.0735120813559</v>
      </c>
      <c r="U18" s="40" t="str">
        <f>B18</f>
        <v>SHIB</v>
      </c>
      <c r="V18" s="50">
        <f t="shared" si="2"/>
        <v>1936.1470241627119</v>
      </c>
      <c r="W18" s="51">
        <f t="shared" si="2"/>
        <v>918.07351208135594</v>
      </c>
    </row>
    <row r="19" spans="1:23" ht="18.75" customHeight="1" x14ac:dyDescent="0.2">
      <c r="A19" s="43" t="s">
        <v>38</v>
      </c>
      <c r="B19" s="43" t="s">
        <v>39</v>
      </c>
      <c r="C19" s="44">
        <v>8728.6196858492149</v>
      </c>
      <c r="D19" s="44">
        <v>272.63742757725777</v>
      </c>
      <c r="E19" s="54">
        <f t="shared" si="1"/>
        <v>32.015485780563893</v>
      </c>
      <c r="F19" s="44">
        <v>0</v>
      </c>
      <c r="G19" s="47">
        <f>C19/$D$4*100</f>
        <v>0.55477454877125831</v>
      </c>
      <c r="H19" s="74">
        <f>+C19/$C$10*100</f>
        <v>1.2661695873211876</v>
      </c>
      <c r="I19" s="75">
        <f>(H19/100)*$C$10/D19</f>
        <v>32.015485780563885</v>
      </c>
      <c r="K19" s="44">
        <f>$C$10/$D19*K$8</f>
        <v>2528.5306250561971</v>
      </c>
      <c r="L19" s="44">
        <f>$C$10/$D19*L$8</f>
        <v>1264.2653125280985</v>
      </c>
      <c r="M19" s="44">
        <f>$C$10/$D19*M$8</f>
        <v>252.85306250561973</v>
      </c>
      <c r="N19" s="44">
        <f>$C$10/$D19*N$8</f>
        <v>126.42653125280987</v>
      </c>
      <c r="P19" s="46">
        <f>$P$7/E19</f>
        <v>3.1234884482280276</v>
      </c>
      <c r="Q19" s="47">
        <f>P19*K19</f>
        <v>7897.8361983538261</v>
      </c>
      <c r="R19" s="48">
        <f>P19*L19</f>
        <v>3948.9180991769131</v>
      </c>
      <c r="S19" s="48">
        <f>P19*M19</f>
        <v>789.78361983538264</v>
      </c>
      <c r="T19" s="49">
        <f>P19*N19</f>
        <v>394.89180991769132</v>
      </c>
      <c r="U19" s="40" t="str">
        <f>B19</f>
        <v>SOL</v>
      </c>
      <c r="V19" s="50">
        <f t="shared" si="2"/>
        <v>689.78361983538264</v>
      </c>
      <c r="W19" s="51">
        <f t="shared" si="2"/>
        <v>294.89180991769132</v>
      </c>
    </row>
    <row r="20" spans="1:23" ht="18.75" customHeight="1" x14ac:dyDescent="0.2">
      <c r="A20" s="43"/>
      <c r="B20" s="43"/>
      <c r="C20" s="43"/>
      <c r="D20" s="43"/>
      <c r="E20" s="55"/>
      <c r="F20" s="43"/>
      <c r="G20" s="76"/>
      <c r="H20" s="77"/>
      <c r="I20" s="58"/>
      <c r="K20" s="43"/>
      <c r="L20" s="43"/>
      <c r="M20" s="43"/>
      <c r="N20" s="43"/>
      <c r="P20" s="56"/>
      <c r="Q20" s="57"/>
      <c r="R20" s="43"/>
      <c r="S20" s="43"/>
      <c r="T20" s="58"/>
      <c r="U20" s="59"/>
      <c r="V20" s="41"/>
      <c r="W20" s="42"/>
    </row>
    <row r="21" spans="1:23" ht="18.75" customHeight="1" x14ac:dyDescent="0.2">
      <c r="A21" s="43"/>
      <c r="B21" s="43"/>
      <c r="C21" s="43"/>
      <c r="D21" s="43"/>
      <c r="E21" s="55"/>
      <c r="F21" s="43"/>
      <c r="G21" s="76"/>
      <c r="H21" s="77"/>
      <c r="I21" s="58"/>
      <c r="K21" s="43"/>
      <c r="L21" s="43"/>
      <c r="M21" s="43"/>
      <c r="N21" s="43"/>
      <c r="P21" s="56"/>
      <c r="Q21" s="57"/>
      <c r="R21" s="43"/>
      <c r="S21" s="43"/>
      <c r="T21" s="58"/>
      <c r="U21" s="59"/>
      <c r="V21" s="41"/>
      <c r="W21" s="42"/>
    </row>
    <row r="22" spans="1:23" ht="18.75" customHeight="1" x14ac:dyDescent="0.2">
      <c r="A22" s="43"/>
      <c r="B22" s="43"/>
      <c r="C22" s="43"/>
      <c r="D22" s="43"/>
      <c r="E22" s="55"/>
      <c r="F22" s="43"/>
      <c r="G22" s="76"/>
      <c r="H22" s="77"/>
      <c r="I22" s="58"/>
      <c r="K22" s="43"/>
      <c r="L22" s="43"/>
      <c r="M22" s="43"/>
      <c r="N22" s="43"/>
      <c r="P22" s="56"/>
      <c r="Q22" s="57"/>
      <c r="R22" s="43"/>
      <c r="S22" s="43"/>
      <c r="T22" s="58"/>
      <c r="U22" s="59"/>
      <c r="V22" s="41"/>
      <c r="W22" s="42"/>
    </row>
    <row r="23" spans="1:23" ht="18.75" customHeight="1" x14ac:dyDescent="0.2">
      <c r="A23" s="43"/>
      <c r="B23" s="43"/>
      <c r="C23" s="43"/>
      <c r="D23" s="43"/>
      <c r="E23" s="55"/>
      <c r="F23" s="43"/>
      <c r="G23" s="76"/>
      <c r="H23" s="77"/>
      <c r="I23" s="58"/>
      <c r="K23" s="43"/>
      <c r="L23" s="43"/>
      <c r="M23" s="43"/>
      <c r="N23" s="43"/>
      <c r="P23" s="56"/>
      <c r="Q23" s="57"/>
      <c r="R23" s="43"/>
      <c r="S23" s="43"/>
      <c r="T23" s="58"/>
      <c r="U23" s="59"/>
      <c r="V23" s="41"/>
      <c r="W23" s="42"/>
    </row>
    <row r="24" spans="1:23" ht="20.25" customHeight="1" x14ac:dyDescent="0.2">
      <c r="A24" s="43"/>
      <c r="B24" s="43"/>
      <c r="C24" s="43"/>
      <c r="D24" s="43"/>
      <c r="E24" s="55"/>
      <c r="F24" s="43"/>
      <c r="G24" s="76"/>
      <c r="H24" s="77"/>
      <c r="I24" s="58"/>
      <c r="K24" s="43"/>
      <c r="L24" s="43"/>
      <c r="M24" s="43"/>
      <c r="N24" s="43"/>
      <c r="P24" s="56"/>
      <c r="Q24" s="57"/>
      <c r="R24" s="43"/>
      <c r="S24" s="43"/>
      <c r="T24" s="58"/>
      <c r="U24" s="59"/>
      <c r="V24" s="41"/>
      <c r="W24" s="42"/>
    </row>
    <row r="25" spans="1:23" ht="20.25" customHeight="1" x14ac:dyDescent="0.2">
      <c r="A25" s="43"/>
      <c r="B25" s="43"/>
      <c r="C25" s="43"/>
      <c r="D25" s="43"/>
      <c r="E25" s="55"/>
      <c r="F25" s="43"/>
      <c r="G25" s="76"/>
      <c r="H25" s="77"/>
      <c r="I25" s="58"/>
      <c r="K25" s="43"/>
      <c r="L25" s="43"/>
      <c r="M25" s="43"/>
      <c r="N25" s="43"/>
      <c r="P25" s="56"/>
      <c r="Q25" s="57"/>
      <c r="R25" s="43"/>
      <c r="S25" s="43"/>
      <c r="T25" s="58"/>
      <c r="U25" s="59"/>
      <c r="V25" s="41"/>
      <c r="W25" s="42"/>
    </row>
    <row r="26" spans="1:23" ht="20.25" customHeight="1" x14ac:dyDescent="0.2">
      <c r="A26" s="43"/>
      <c r="B26" s="43"/>
      <c r="C26" s="43"/>
      <c r="D26" s="43"/>
      <c r="E26" s="55"/>
      <c r="F26" s="43"/>
      <c r="G26" s="76"/>
      <c r="H26" s="77"/>
      <c r="I26" s="58"/>
      <c r="K26" s="43"/>
      <c r="L26" s="43"/>
      <c r="M26" s="43"/>
      <c r="N26" s="43"/>
      <c r="P26" s="56"/>
      <c r="Q26" s="57"/>
      <c r="R26" s="43"/>
      <c r="S26" s="43"/>
      <c r="T26" s="58"/>
      <c r="U26" s="59"/>
      <c r="V26" s="41"/>
      <c r="W26" s="42"/>
    </row>
    <row r="27" spans="1:23" ht="20.25" customHeight="1" x14ac:dyDescent="0.2">
      <c r="A27" s="43"/>
      <c r="B27" s="43"/>
      <c r="C27" s="43"/>
      <c r="D27" s="43"/>
      <c r="E27" s="55"/>
      <c r="F27" s="43"/>
      <c r="G27" s="76"/>
      <c r="H27" s="77"/>
      <c r="I27" s="58"/>
      <c r="K27" s="43"/>
      <c r="L27" s="43"/>
      <c r="M27" s="43"/>
      <c r="N27" s="43"/>
      <c r="P27" s="56"/>
      <c r="Q27" s="57"/>
      <c r="R27" s="43"/>
      <c r="S27" s="43"/>
      <c r="T27" s="58"/>
      <c r="U27" s="59"/>
      <c r="V27" s="41"/>
      <c r="W27" s="42"/>
    </row>
    <row r="28" spans="1:23" ht="20.25" customHeight="1" x14ac:dyDescent="0.2">
      <c r="A28" s="43"/>
      <c r="B28" s="43"/>
      <c r="C28" s="43"/>
      <c r="D28" s="43"/>
      <c r="E28" s="55"/>
      <c r="F28" s="43"/>
      <c r="G28" s="76"/>
      <c r="H28" s="77"/>
      <c r="I28" s="58"/>
      <c r="K28" s="43"/>
      <c r="L28" s="43"/>
      <c r="M28" s="43"/>
      <c r="N28" s="43"/>
      <c r="P28" s="56"/>
      <c r="Q28" s="57"/>
      <c r="R28" s="43"/>
      <c r="S28" s="43"/>
      <c r="T28" s="58"/>
      <c r="U28" s="59"/>
      <c r="V28" s="41"/>
      <c r="W28" s="42"/>
    </row>
    <row r="29" spans="1:23" ht="20.25" customHeight="1" x14ac:dyDescent="0.2">
      <c r="A29" s="43"/>
      <c r="B29" s="43"/>
      <c r="C29" s="43"/>
      <c r="D29" s="43"/>
      <c r="E29" s="55"/>
      <c r="F29" s="43"/>
      <c r="G29" s="76"/>
      <c r="H29" s="77"/>
      <c r="I29" s="58"/>
      <c r="K29" s="43"/>
      <c r="L29" s="43"/>
      <c r="M29" s="43"/>
      <c r="N29" s="43"/>
      <c r="P29" s="56"/>
      <c r="Q29" s="57"/>
      <c r="R29" s="43"/>
      <c r="S29" s="43"/>
      <c r="T29" s="58"/>
      <c r="U29" s="59"/>
      <c r="V29" s="41"/>
      <c r="W29" s="42"/>
    </row>
    <row r="30" spans="1:23" ht="20.25" customHeight="1" x14ac:dyDescent="0.2">
      <c r="A30" s="43"/>
      <c r="B30" s="43"/>
      <c r="C30" s="43"/>
      <c r="D30" s="43"/>
      <c r="E30" s="60"/>
      <c r="F30" s="43"/>
      <c r="G30" s="78"/>
      <c r="H30" s="79"/>
      <c r="I30" s="64"/>
      <c r="K30" s="43"/>
      <c r="L30" s="43"/>
      <c r="M30" s="43"/>
      <c r="N30" s="43"/>
      <c r="P30" s="61"/>
      <c r="Q30" s="62"/>
      <c r="R30" s="63"/>
      <c r="S30" s="63"/>
      <c r="T30" s="64"/>
      <c r="U30" s="65"/>
      <c r="V30" s="66"/>
      <c r="W30" s="67"/>
    </row>
    <row r="31" spans="1:23" ht="20.25" customHeight="1" x14ac:dyDescent="0.2">
      <c r="C31" s="1"/>
      <c r="D31" s="1"/>
      <c r="E31" s="1"/>
      <c r="F31" s="1"/>
      <c r="H31" s="1"/>
      <c r="I31" s="1"/>
      <c r="K31" s="1"/>
      <c r="L31" s="1"/>
      <c r="M31" s="1"/>
      <c r="N31" s="1"/>
      <c r="P31" s="1"/>
      <c r="Q31" s="1"/>
      <c r="R31" s="1"/>
      <c r="S31" s="1"/>
      <c r="T31" s="1"/>
    </row>
    <row r="32" spans="1:23" x14ac:dyDescent="0.2">
      <c r="B32" s="68"/>
      <c r="C32" s="35"/>
      <c r="D32" s="35"/>
      <c r="E32" s="35"/>
      <c r="F32" s="35"/>
      <c r="H32" s="35"/>
      <c r="I32" s="35"/>
      <c r="K32" s="25"/>
      <c r="L32" s="25"/>
      <c r="M32" s="25"/>
      <c r="P32" s="25"/>
      <c r="Q32" s="25"/>
      <c r="R32" s="25"/>
      <c r="S32" s="25"/>
    </row>
    <row r="33" spans="2:19" x14ac:dyDescent="0.2">
      <c r="B33" s="68"/>
      <c r="C33" s="35"/>
      <c r="D33" s="35"/>
      <c r="E33" s="35"/>
      <c r="F33" s="35"/>
      <c r="G33" s="35"/>
      <c r="H33" s="35"/>
      <c r="I33" s="35"/>
      <c r="K33" s="25"/>
      <c r="L33" s="25"/>
      <c r="M33" s="25"/>
      <c r="P33" s="25"/>
      <c r="Q33" s="25"/>
      <c r="R33" s="25"/>
      <c r="S33" s="25"/>
    </row>
    <row r="34" spans="2:19" x14ac:dyDescent="0.2">
      <c r="B34" s="68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P34" s="25"/>
      <c r="Q34" s="25"/>
      <c r="R34" s="25"/>
      <c r="S34" s="25"/>
    </row>
    <row r="35" spans="2:19" x14ac:dyDescent="0.2">
      <c r="B35" s="68"/>
      <c r="C35" s="25"/>
      <c r="D35" s="25"/>
      <c r="E35" s="25"/>
      <c r="F35" s="25"/>
      <c r="G35" s="25"/>
      <c r="H35" s="25"/>
      <c r="I35" s="25"/>
      <c r="J35" s="25"/>
      <c r="P35" s="25"/>
      <c r="Q35" s="25"/>
      <c r="R35" s="25"/>
      <c r="S35" s="25"/>
    </row>
    <row r="36" spans="2:19" x14ac:dyDescent="0.2">
      <c r="B36" s="68"/>
      <c r="C36" s="25"/>
      <c r="D36" s="25"/>
      <c r="E36" s="25"/>
      <c r="F36" s="25"/>
      <c r="G36" s="25"/>
      <c r="H36" s="25"/>
      <c r="I36" s="25"/>
      <c r="J36" s="25"/>
      <c r="P36" s="25"/>
      <c r="Q36" s="25"/>
      <c r="R36" s="25"/>
      <c r="S36" s="25"/>
    </row>
    <row r="37" spans="2:19" x14ac:dyDescent="0.2">
      <c r="B37" s="68"/>
      <c r="C37" s="25"/>
      <c r="D37" s="25"/>
      <c r="E37" s="25"/>
      <c r="F37" s="25"/>
      <c r="G37" s="25"/>
      <c r="H37" s="25"/>
      <c r="I37" s="25"/>
      <c r="J37" s="25"/>
      <c r="P37" s="25"/>
      <c r="Q37" s="25"/>
      <c r="R37" s="25"/>
      <c r="S37" s="25"/>
    </row>
    <row r="38" spans="2:19" x14ac:dyDescent="0.2">
      <c r="B38" s="68"/>
      <c r="C38" s="25"/>
      <c r="D38" s="25"/>
      <c r="E38" s="25"/>
      <c r="F38" s="25"/>
      <c r="G38" s="25"/>
      <c r="H38" s="25"/>
      <c r="I38" s="25"/>
      <c r="J38" s="25"/>
    </row>
    <row r="39" spans="2:19" x14ac:dyDescent="0.2">
      <c r="B39" s="68"/>
      <c r="C39" s="25"/>
      <c r="D39" s="25"/>
      <c r="E39" s="25"/>
      <c r="F39" s="25"/>
      <c r="G39" s="25"/>
      <c r="H39" s="25"/>
      <c r="I39" s="25"/>
      <c r="J39" s="25"/>
    </row>
    <row r="40" spans="2:19" x14ac:dyDescent="0.2">
      <c r="B40" s="68"/>
      <c r="C40" s="25"/>
      <c r="D40" s="25"/>
      <c r="E40" s="25"/>
      <c r="F40" s="25"/>
      <c r="G40" s="25"/>
      <c r="H40" s="25"/>
      <c r="I40" s="25"/>
      <c r="J40" s="25"/>
    </row>
    <row r="41" spans="2:19" x14ac:dyDescent="0.2">
      <c r="B41" s="68"/>
    </row>
    <row r="42" spans="2:19" x14ac:dyDescent="0.2">
      <c r="B42" s="68"/>
    </row>
    <row r="43" spans="2:19" x14ac:dyDescent="0.2">
      <c r="B43" s="68"/>
    </row>
  </sheetData>
  <mergeCells count="4">
    <mergeCell ref="Q6:T6"/>
    <mergeCell ref="V6:W6"/>
    <mergeCell ref="K7:N7"/>
    <mergeCell ref="A4:C4"/>
  </mergeCell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0</xdr:col>
                <xdr:colOff>219075</xdr:colOff>
                <xdr:row>0</xdr:row>
                <xdr:rowOff>57150</xdr:rowOff>
              </from>
              <to>
                <xdr:col>3</xdr:col>
                <xdr:colOff>685800</xdr:colOff>
                <xdr:row>2</xdr:row>
                <xdr:rowOff>104775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6" r:id="rId6" name="OptionButton2">
          <controlPr defaultSize="0" autoLine="0" r:id="rId7">
            <anchor moveWithCells="1">
              <from>
                <xdr:col>10</xdr:col>
                <xdr:colOff>28575</xdr:colOff>
                <xdr:row>3</xdr:row>
                <xdr:rowOff>123825</xdr:rowOff>
              </from>
              <to>
                <xdr:col>12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1026" r:id="rId6" name="OptionButton2"/>
      </mc:Fallback>
    </mc:AlternateContent>
    <mc:AlternateContent xmlns:mc="http://schemas.openxmlformats.org/markup-compatibility/2006">
      <mc:Choice Requires="x14">
        <control shapeId="1025" r:id="rId8" name="OptionButton1">
          <controlPr defaultSize="0" autoLine="0" r:id="rId9">
            <anchor moveWithCells="1">
              <from>
                <xdr:col>10</xdr:col>
                <xdr:colOff>28575</xdr:colOff>
                <xdr:row>1</xdr:row>
                <xdr:rowOff>114300</xdr:rowOff>
              </from>
              <to>
                <xdr:col>12</xdr:col>
                <xdr:colOff>152400</xdr:colOff>
                <xdr:row>3</xdr:row>
                <xdr:rowOff>47625</xdr:rowOff>
              </to>
            </anchor>
          </controlPr>
        </control>
      </mc:Choice>
      <mc:Fallback>
        <control shapeId="1025" r:id="rId8" name="Optio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8E9F6-BB67-42F6-8F87-0B5D230CE532}">
  <sheetPr codeName="Sheet2"/>
  <dimension ref="A1:J101"/>
  <sheetViews>
    <sheetView workbookViewId="0">
      <selection activeCell="I2" sqref="I2"/>
    </sheetView>
  </sheetViews>
  <sheetFormatPr defaultRowHeight="15" x14ac:dyDescent="0.25"/>
  <cols>
    <col min="1" max="1" width="13.28515625" bestFit="1" customWidth="1"/>
    <col min="2" max="2" width="20.5703125" bestFit="1" customWidth="1"/>
    <col min="3" max="3" width="18.140625" bestFit="1" customWidth="1"/>
    <col min="4" max="4" width="22.42578125" bestFit="1" customWidth="1"/>
    <col min="5" max="5" width="28.140625" bestFit="1" customWidth="1"/>
    <col min="6" max="6" width="22.85546875" bestFit="1" customWidth="1"/>
    <col min="7" max="7" width="12" bestFit="1" customWidth="1"/>
    <col min="8" max="8" width="14" bestFit="1" customWidth="1"/>
    <col min="9" max="9" width="13.42578125" bestFit="1" customWidth="1"/>
    <col min="10" max="10" width="23.5703125" bestFit="1" customWidth="1"/>
  </cols>
  <sheetData>
    <row r="1" spans="1:10" x14ac:dyDescent="0.25">
      <c r="A1" t="s">
        <v>40</v>
      </c>
      <c r="B1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</row>
    <row r="2" spans="1:10" x14ac:dyDescent="0.25">
      <c r="A2">
        <v>1</v>
      </c>
      <c r="B2" t="s">
        <v>23</v>
      </c>
      <c r="C2" t="s">
        <v>24</v>
      </c>
      <c r="D2">
        <v>21000000</v>
      </c>
      <c r="E2">
        <v>18722937</v>
      </c>
      <c r="F2">
        <v>18722937</v>
      </c>
      <c r="G2">
        <v>36819.655226401563</v>
      </c>
      <c r="H2">
        <v>37944071400.092529</v>
      </c>
      <c r="I2">
        <v>689372085165.63721</v>
      </c>
      <c r="J2" t="s">
        <v>231</v>
      </c>
    </row>
    <row r="3" spans="1:10" x14ac:dyDescent="0.25">
      <c r="A3">
        <v>1027</v>
      </c>
      <c r="B3" t="s">
        <v>50</v>
      </c>
      <c r="C3" t="s">
        <v>26</v>
      </c>
      <c r="E3">
        <v>116101048.8115</v>
      </c>
      <c r="F3">
        <v>116101048.8115</v>
      </c>
      <c r="G3">
        <v>2596.7398262332081</v>
      </c>
      <c r="H3">
        <v>29749692776.077934</v>
      </c>
      <c r="I3">
        <v>301484217316.2677</v>
      </c>
      <c r="J3" t="s">
        <v>231</v>
      </c>
    </row>
    <row r="4" spans="1:10" x14ac:dyDescent="0.25">
      <c r="A4">
        <v>825</v>
      </c>
      <c r="B4" t="s">
        <v>51</v>
      </c>
      <c r="C4" t="s">
        <v>52</v>
      </c>
      <c r="E4">
        <v>61783335673.661682</v>
      </c>
      <c r="F4">
        <v>63476291004.329773</v>
      </c>
      <c r="G4">
        <v>1.0009257060988399</v>
      </c>
      <c r="H4">
        <v>85160679649.096558</v>
      </c>
      <c r="I4">
        <v>61840528884.30146</v>
      </c>
      <c r="J4" t="s">
        <v>232</v>
      </c>
    </row>
    <row r="5" spans="1:10" x14ac:dyDescent="0.25">
      <c r="A5">
        <v>2010</v>
      </c>
      <c r="B5" t="s">
        <v>27</v>
      </c>
      <c r="C5" t="s">
        <v>28</v>
      </c>
      <c r="D5">
        <v>45000000000</v>
      </c>
      <c r="E5">
        <v>31948309440.747799</v>
      </c>
      <c r="F5">
        <v>45000000000</v>
      </c>
      <c r="G5">
        <v>1.65084879662002</v>
      </c>
      <c r="H5">
        <v>4369717172.600975</v>
      </c>
      <c r="I5">
        <v>52741828194.302528</v>
      </c>
      <c r="J5" t="s">
        <v>233</v>
      </c>
    </row>
    <row r="6" spans="1:10" x14ac:dyDescent="0.25">
      <c r="A6">
        <v>1839</v>
      </c>
      <c r="B6" t="s">
        <v>53</v>
      </c>
      <c r="C6" t="s">
        <v>54</v>
      </c>
      <c r="D6">
        <v>170532785</v>
      </c>
      <c r="E6">
        <v>153432897</v>
      </c>
      <c r="F6">
        <v>169432897</v>
      </c>
      <c r="G6">
        <v>342.73598301841128</v>
      </c>
      <c r="H6">
        <v>3705660645.0000682</v>
      </c>
      <c r="I6">
        <v>52586974780.657646</v>
      </c>
      <c r="J6" t="s">
        <v>232</v>
      </c>
    </row>
    <row r="7" spans="1:10" x14ac:dyDescent="0.25">
      <c r="A7">
        <v>52</v>
      </c>
      <c r="B7" t="s">
        <v>55</v>
      </c>
      <c r="C7" t="s">
        <v>55</v>
      </c>
      <c r="D7">
        <v>100000000000</v>
      </c>
      <c r="E7">
        <v>46143602688</v>
      </c>
      <c r="F7">
        <v>99990424619</v>
      </c>
      <c r="G7">
        <v>0.99159468939372997</v>
      </c>
      <c r="H7">
        <v>6129890901.9795885</v>
      </c>
      <c r="I7">
        <v>45755751374.915047</v>
      </c>
      <c r="J7" t="s">
        <v>234</v>
      </c>
    </row>
    <row r="8" spans="1:10" x14ac:dyDescent="0.25">
      <c r="A8">
        <v>74</v>
      </c>
      <c r="B8" t="s">
        <v>56</v>
      </c>
      <c r="C8" t="s">
        <v>57</v>
      </c>
      <c r="E8">
        <v>129826876507.56114</v>
      </c>
      <c r="F8">
        <v>129826876507.56114</v>
      </c>
      <c r="G8">
        <v>0.31187383397801</v>
      </c>
      <c r="H8">
        <v>2070848893.7543659</v>
      </c>
      <c r="I8">
        <v>40489605729.802727</v>
      </c>
      <c r="J8" t="s">
        <v>234</v>
      </c>
    </row>
    <row r="9" spans="1:10" x14ac:dyDescent="0.25">
      <c r="A9">
        <v>3408</v>
      </c>
      <c r="B9" t="s">
        <v>58</v>
      </c>
      <c r="C9" t="s">
        <v>59</v>
      </c>
      <c r="E9">
        <v>22586128724.507343</v>
      </c>
      <c r="F9">
        <v>22586128724.507343</v>
      </c>
      <c r="G9">
        <v>1.00037871657579</v>
      </c>
      <c r="H9">
        <v>2288794073.2841926</v>
      </c>
      <c r="I9">
        <v>22594682465.838242</v>
      </c>
      <c r="J9" t="s">
        <v>235</v>
      </c>
    </row>
    <row r="10" spans="1:10" x14ac:dyDescent="0.25">
      <c r="A10">
        <v>6636</v>
      </c>
      <c r="B10" t="s">
        <v>29</v>
      </c>
      <c r="C10" t="s">
        <v>30</v>
      </c>
      <c r="E10">
        <v>943396265.03316998</v>
      </c>
      <c r="F10">
        <v>1078920379.887358</v>
      </c>
      <c r="G10">
        <v>21.989818897448941</v>
      </c>
      <c r="H10">
        <v>2390039787.2733512</v>
      </c>
      <c r="I10">
        <v>20745113016.60915</v>
      </c>
      <c r="J10" t="s">
        <v>236</v>
      </c>
    </row>
    <row r="11" spans="1:10" x14ac:dyDescent="0.25">
      <c r="A11">
        <v>7083</v>
      </c>
      <c r="B11" t="s">
        <v>60</v>
      </c>
      <c r="C11" t="s">
        <v>61</v>
      </c>
      <c r="D11">
        <v>1000000000</v>
      </c>
      <c r="E11">
        <v>565712820.73824894</v>
      </c>
      <c r="F11">
        <v>1000000000</v>
      </c>
      <c r="G11">
        <v>26.90033489039341</v>
      </c>
      <c r="H11">
        <v>1039920376.9820508</v>
      </c>
      <c r="I11">
        <v>15217864329.647991</v>
      </c>
      <c r="J11" t="s">
        <v>233</v>
      </c>
    </row>
    <row r="12" spans="1:10" x14ac:dyDescent="0.25">
      <c r="A12">
        <v>8916</v>
      </c>
      <c r="B12" t="s">
        <v>62</v>
      </c>
      <c r="C12" t="s">
        <v>63</v>
      </c>
      <c r="E12">
        <v>124048742.19</v>
      </c>
      <c r="F12">
        <v>469290320.87930799</v>
      </c>
      <c r="G12">
        <v>111.45209328160354</v>
      </c>
      <c r="H12">
        <v>202249602.92913732</v>
      </c>
      <c r="I12">
        <v>13825491986.025469</v>
      </c>
      <c r="J12" t="s">
        <v>237</v>
      </c>
    </row>
    <row r="13" spans="1:10" x14ac:dyDescent="0.25">
      <c r="A13">
        <v>1831</v>
      </c>
      <c r="B13" t="s">
        <v>64</v>
      </c>
      <c r="C13" t="s">
        <v>65</v>
      </c>
      <c r="D13">
        <v>21000000</v>
      </c>
      <c r="E13">
        <v>18751462.5</v>
      </c>
      <c r="F13">
        <v>18751462.5</v>
      </c>
      <c r="G13">
        <v>694.17948524932592</v>
      </c>
      <c r="H13">
        <v>2727681931.9573231</v>
      </c>
      <c r="I13">
        <v>13016880585.922041</v>
      </c>
      <c r="J13" t="s">
        <v>238</v>
      </c>
    </row>
    <row r="14" spans="1:10" x14ac:dyDescent="0.25">
      <c r="A14">
        <v>1975</v>
      </c>
      <c r="B14" t="s">
        <v>66</v>
      </c>
      <c r="C14" t="s">
        <v>67</v>
      </c>
      <c r="D14">
        <v>1000000000</v>
      </c>
      <c r="E14">
        <v>429509553.91746372</v>
      </c>
      <c r="F14">
        <v>1000000000</v>
      </c>
      <c r="G14">
        <v>29.9727871721546</v>
      </c>
      <c r="H14">
        <v>2394836712.7539854</v>
      </c>
      <c r="I14">
        <v>12873598447.975201</v>
      </c>
      <c r="J14" t="s">
        <v>233</v>
      </c>
    </row>
    <row r="15" spans="1:10" x14ac:dyDescent="0.25">
      <c r="A15">
        <v>2</v>
      </c>
      <c r="B15" t="s">
        <v>68</v>
      </c>
      <c r="C15" t="s">
        <v>69</v>
      </c>
      <c r="D15">
        <v>84000000</v>
      </c>
      <c r="E15">
        <v>66752414.515387468</v>
      </c>
      <c r="F15">
        <v>66752414.515387468</v>
      </c>
      <c r="G15">
        <v>182.48341979195536</v>
      </c>
      <c r="H15">
        <v>3276220568.2426286</v>
      </c>
      <c r="I15">
        <v>12181208880.138067</v>
      </c>
      <c r="J15" t="s">
        <v>231</v>
      </c>
    </row>
    <row r="16" spans="1:10" x14ac:dyDescent="0.25">
      <c r="A16">
        <v>3890</v>
      </c>
      <c r="B16" t="s">
        <v>31</v>
      </c>
      <c r="C16" t="s">
        <v>32</v>
      </c>
      <c r="D16">
        <v>10000000000</v>
      </c>
      <c r="E16">
        <v>6211590053</v>
      </c>
      <c r="F16">
        <v>10000000000</v>
      </c>
      <c r="G16">
        <v>1.8263682270082</v>
      </c>
      <c r="H16">
        <v>3222355862.1108599</v>
      </c>
      <c r="I16">
        <v>11344650711.999382</v>
      </c>
      <c r="J16" t="s">
        <v>239</v>
      </c>
    </row>
    <row r="17" spans="1:10" x14ac:dyDescent="0.25">
      <c r="A17">
        <v>512</v>
      </c>
      <c r="B17" t="s">
        <v>70</v>
      </c>
      <c r="C17" t="s">
        <v>71</v>
      </c>
      <c r="D17">
        <v>50001806812</v>
      </c>
      <c r="E17">
        <v>23113746398.601082</v>
      </c>
      <c r="F17">
        <v>50001803158.544525</v>
      </c>
      <c r="G17">
        <v>0.39347257168293998</v>
      </c>
      <c r="H17">
        <v>992808272.11969602</v>
      </c>
      <c r="I17">
        <v>9094625236.6848602</v>
      </c>
      <c r="J17" t="s">
        <v>240</v>
      </c>
    </row>
    <row r="18" spans="1:10" x14ac:dyDescent="0.25">
      <c r="A18">
        <v>5426</v>
      </c>
      <c r="B18" t="s">
        <v>38</v>
      </c>
      <c r="C18" t="s">
        <v>39</v>
      </c>
      <c r="E18">
        <v>272637427.57725775</v>
      </c>
      <c r="F18">
        <v>494519161.74206734</v>
      </c>
      <c r="G18">
        <v>32.015485780563893</v>
      </c>
      <c r="H18">
        <v>507570113.91864306</v>
      </c>
      <c r="I18">
        <v>8728619685.8492146</v>
      </c>
      <c r="J18" t="s">
        <v>235</v>
      </c>
    </row>
    <row r="19" spans="1:10" x14ac:dyDescent="0.25">
      <c r="A19">
        <v>4687</v>
      </c>
      <c r="B19" t="s">
        <v>72</v>
      </c>
      <c r="C19" t="s">
        <v>73</v>
      </c>
      <c r="E19">
        <v>8656430109.9300003</v>
      </c>
      <c r="F19">
        <v>8656430109.9300003</v>
      </c>
      <c r="G19">
        <v>1.0004414150927099</v>
      </c>
      <c r="H19">
        <v>5645152269.1423635</v>
      </c>
      <c r="I19">
        <v>8660251188.8295116</v>
      </c>
      <c r="J19" t="s">
        <v>236</v>
      </c>
    </row>
    <row r="20" spans="1:10" x14ac:dyDescent="0.25">
      <c r="A20">
        <v>1321</v>
      </c>
      <c r="B20" t="s">
        <v>74</v>
      </c>
      <c r="C20" t="s">
        <v>75</v>
      </c>
      <c r="D20">
        <v>210700000</v>
      </c>
      <c r="E20">
        <v>116313299</v>
      </c>
      <c r="F20">
        <v>116313299</v>
      </c>
      <c r="G20">
        <v>67.010346091049826</v>
      </c>
      <c r="H20">
        <v>3489066894.9915457</v>
      </c>
      <c r="I20">
        <v>7794194420.98176</v>
      </c>
      <c r="J20" t="s">
        <v>241</v>
      </c>
    </row>
    <row r="21" spans="1:10" x14ac:dyDescent="0.25">
      <c r="A21">
        <v>3077</v>
      </c>
      <c r="B21" t="s">
        <v>76</v>
      </c>
      <c r="C21" t="s">
        <v>36</v>
      </c>
      <c r="D21">
        <v>86712634466</v>
      </c>
      <c r="E21">
        <v>64315576989</v>
      </c>
      <c r="F21">
        <v>86712634466</v>
      </c>
      <c r="G21">
        <v>0.11821135522473999</v>
      </c>
      <c r="H21">
        <v>1027950106.4691154</v>
      </c>
      <c r="I21">
        <v>7602831517.9307928</v>
      </c>
      <c r="J21" t="s">
        <v>231</v>
      </c>
    </row>
    <row r="22" spans="1:10" x14ac:dyDescent="0.25">
      <c r="A22">
        <v>3717</v>
      </c>
      <c r="B22" t="s">
        <v>77</v>
      </c>
      <c r="C22" t="s">
        <v>78</v>
      </c>
      <c r="E22">
        <v>185810.67863911</v>
      </c>
      <c r="F22">
        <v>185810.67863911</v>
      </c>
      <c r="G22">
        <v>36760.771692631875</v>
      </c>
      <c r="H22">
        <v>150115559.54746306</v>
      </c>
      <c r="I22">
        <v>6830543935.5053129</v>
      </c>
      <c r="J22" t="s">
        <v>238</v>
      </c>
    </row>
    <row r="23" spans="1:10" x14ac:dyDescent="0.25">
      <c r="A23">
        <v>2416</v>
      </c>
      <c r="B23" t="s">
        <v>79</v>
      </c>
      <c r="C23" t="s">
        <v>79</v>
      </c>
      <c r="D23">
        <v>1000000000</v>
      </c>
      <c r="E23">
        <v>1000000000</v>
      </c>
      <c r="F23">
        <v>1000000000</v>
      </c>
      <c r="G23">
        <v>6.6863428548743</v>
      </c>
      <c r="H23">
        <v>268309718.80755487</v>
      </c>
      <c r="I23">
        <v>6686342854.8743</v>
      </c>
      <c r="J23" t="s">
        <v>235</v>
      </c>
    </row>
    <row r="24" spans="1:10" x14ac:dyDescent="0.25">
      <c r="A24">
        <v>1765</v>
      </c>
      <c r="B24" t="s">
        <v>80</v>
      </c>
      <c r="C24" t="s">
        <v>80</v>
      </c>
      <c r="E24">
        <v>953853069.94379997</v>
      </c>
      <c r="F24">
        <v>1030020148.2363</v>
      </c>
      <c r="G24">
        <v>6.2378124274917797</v>
      </c>
      <c r="H24">
        <v>2543900118.5222368</v>
      </c>
      <c r="I24">
        <v>5949956533.6966209</v>
      </c>
      <c r="J24" t="s">
        <v>237</v>
      </c>
    </row>
    <row r="25" spans="1:10" x14ac:dyDescent="0.25">
      <c r="A25">
        <v>1958</v>
      </c>
      <c r="B25" t="s">
        <v>81</v>
      </c>
      <c r="C25" t="s">
        <v>82</v>
      </c>
      <c r="E25">
        <v>71659657369.490005</v>
      </c>
      <c r="F25">
        <v>100850743811.662</v>
      </c>
      <c r="G25">
        <v>7.4920491735790004E-2</v>
      </c>
      <c r="H25">
        <v>1403536008.1001289</v>
      </c>
      <c r="I25">
        <v>5368776767.7404194</v>
      </c>
      <c r="J25" t="s">
        <v>239</v>
      </c>
    </row>
    <row r="26" spans="1:10" x14ac:dyDescent="0.25">
      <c r="A26">
        <v>2280</v>
      </c>
      <c r="B26" t="s">
        <v>83</v>
      </c>
      <c r="C26" t="s">
        <v>84</v>
      </c>
      <c r="E26">
        <v>74671292</v>
      </c>
      <c r="F26">
        <v>74671292</v>
      </c>
      <c r="G26">
        <v>70.193639893958803</v>
      </c>
      <c r="H26">
        <v>800707949.06649315</v>
      </c>
      <c r="I26">
        <v>5241449781.0646467</v>
      </c>
      <c r="J26" t="s">
        <v>235</v>
      </c>
    </row>
    <row r="27" spans="1:10" x14ac:dyDescent="0.25">
      <c r="A27">
        <v>4943</v>
      </c>
      <c r="B27" t="s">
        <v>85</v>
      </c>
      <c r="C27" t="s">
        <v>86</v>
      </c>
      <c r="E27">
        <v>4664224299.9425039</v>
      </c>
      <c r="F27">
        <v>4664224788.7816486</v>
      </c>
      <c r="G27">
        <v>1.0013908587909299</v>
      </c>
      <c r="H27">
        <v>361273056.94201767</v>
      </c>
      <c r="I27">
        <v>4670711577.3129482</v>
      </c>
      <c r="J27" t="s">
        <v>238</v>
      </c>
    </row>
    <row r="28" spans="1:10" x14ac:dyDescent="0.25">
      <c r="A28">
        <v>328</v>
      </c>
      <c r="B28" t="s">
        <v>87</v>
      </c>
      <c r="C28" t="s">
        <v>88</v>
      </c>
      <c r="E28">
        <v>17921726.34170644</v>
      </c>
      <c r="F28">
        <v>17921726.34170644</v>
      </c>
      <c r="G28">
        <v>257.22955815883381</v>
      </c>
      <c r="H28">
        <v>271321401.42520827</v>
      </c>
      <c r="I28">
        <v>4609997748.3206806</v>
      </c>
      <c r="J28" t="s">
        <v>235</v>
      </c>
    </row>
    <row r="29" spans="1:10" x14ac:dyDescent="0.25">
      <c r="A29">
        <v>7278</v>
      </c>
      <c r="B29" t="s">
        <v>89</v>
      </c>
      <c r="C29" t="s">
        <v>90</v>
      </c>
      <c r="D29">
        <v>16000000</v>
      </c>
      <c r="E29">
        <v>12785452.232524659</v>
      </c>
      <c r="F29">
        <v>16000000</v>
      </c>
      <c r="G29">
        <v>357.37240693470369</v>
      </c>
      <c r="H29">
        <v>619923664.46026194</v>
      </c>
      <c r="I29">
        <v>4569167838.0860186</v>
      </c>
      <c r="J29" t="s">
        <v>234</v>
      </c>
    </row>
    <row r="30" spans="1:10" x14ac:dyDescent="0.25">
      <c r="A30">
        <v>1376</v>
      </c>
      <c r="B30" t="s">
        <v>91</v>
      </c>
      <c r="C30" t="s">
        <v>92</v>
      </c>
      <c r="D30">
        <v>100000000</v>
      </c>
      <c r="E30">
        <v>70538831</v>
      </c>
      <c r="F30">
        <v>100000000</v>
      </c>
      <c r="G30">
        <v>53.505889654243312</v>
      </c>
      <c r="H30">
        <v>501408463.60908562</v>
      </c>
      <c r="I30">
        <v>3774242907.8253174</v>
      </c>
      <c r="J30" t="s">
        <v>235</v>
      </c>
    </row>
    <row r="31" spans="1:10" x14ac:dyDescent="0.25">
      <c r="A31">
        <v>1518</v>
      </c>
      <c r="B31" t="s">
        <v>93</v>
      </c>
      <c r="C31" t="s">
        <v>94</v>
      </c>
      <c r="D31">
        <v>1005577</v>
      </c>
      <c r="E31">
        <v>991501.05397004995</v>
      </c>
      <c r="F31">
        <v>991501.05397004995</v>
      </c>
      <c r="G31">
        <v>3469.7287183861213</v>
      </c>
      <c r="H31">
        <v>207813950.52344039</v>
      </c>
      <c r="I31">
        <v>3440239681.26999</v>
      </c>
      <c r="J31" t="s">
        <v>240</v>
      </c>
    </row>
    <row r="32" spans="1:10" x14ac:dyDescent="0.25">
      <c r="A32">
        <v>4256</v>
      </c>
      <c r="B32" t="s">
        <v>95</v>
      </c>
      <c r="C32" t="s">
        <v>96</v>
      </c>
      <c r="E32">
        <v>2468975724</v>
      </c>
      <c r="F32">
        <v>10583248240</v>
      </c>
      <c r="G32">
        <v>1.38445968856285</v>
      </c>
      <c r="H32">
        <v>39796381.9972234</v>
      </c>
      <c r="I32">
        <v>3418197361.9182768</v>
      </c>
      <c r="J32" t="s">
        <v>242</v>
      </c>
    </row>
    <row r="33" spans="1:10" x14ac:dyDescent="0.25">
      <c r="A33">
        <v>5994</v>
      </c>
      <c r="B33" t="s">
        <v>101</v>
      </c>
      <c r="C33" t="s">
        <v>37</v>
      </c>
      <c r="E33">
        <v>394796000000000</v>
      </c>
      <c r="F33">
        <v>1000000000000000</v>
      </c>
      <c r="G33">
        <v>8.5757441499999993E-6</v>
      </c>
      <c r="H33">
        <v>615539319.03974438</v>
      </c>
      <c r="I33">
        <v>3385669487.4433999</v>
      </c>
      <c r="J33" t="s">
        <v>237</v>
      </c>
    </row>
    <row r="34" spans="1:10" x14ac:dyDescent="0.25">
      <c r="A34">
        <v>3602</v>
      </c>
      <c r="B34" t="s">
        <v>97</v>
      </c>
      <c r="C34" t="s">
        <v>98</v>
      </c>
      <c r="D34">
        <v>21000000</v>
      </c>
      <c r="E34">
        <v>18747720.394239049</v>
      </c>
      <c r="F34">
        <v>18747720.394239049</v>
      </c>
      <c r="G34">
        <v>170.72378772754743</v>
      </c>
      <c r="H34">
        <v>848101934.20039535</v>
      </c>
      <c r="I34">
        <v>3200681836.9614792</v>
      </c>
      <c r="J34" t="s">
        <v>236</v>
      </c>
    </row>
    <row r="35" spans="1:10" x14ac:dyDescent="0.25">
      <c r="A35">
        <v>3635</v>
      </c>
      <c r="B35" t="s">
        <v>99</v>
      </c>
      <c r="C35" t="s">
        <v>100</v>
      </c>
      <c r="E35">
        <v>25263013692</v>
      </c>
      <c r="F35">
        <v>30263013692</v>
      </c>
      <c r="G35">
        <v>0.12380585036507</v>
      </c>
      <c r="H35">
        <v>82704997.747745872</v>
      </c>
      <c r="I35">
        <v>3127708892.9224668</v>
      </c>
      <c r="J35" t="s">
        <v>240</v>
      </c>
    </row>
    <row r="36" spans="1:10" x14ac:dyDescent="0.25">
      <c r="A36">
        <v>4195</v>
      </c>
      <c r="B36" t="s">
        <v>102</v>
      </c>
      <c r="C36" t="s">
        <v>103</v>
      </c>
      <c r="D36">
        <v>339228639</v>
      </c>
      <c r="E36">
        <v>94346957.523748994</v>
      </c>
      <c r="F36">
        <v>345219293.590976</v>
      </c>
      <c r="G36">
        <v>33.077845489925167</v>
      </c>
      <c r="H36">
        <v>153174199.2075491</v>
      </c>
      <c r="I36">
        <v>3120794083.415102</v>
      </c>
      <c r="J36" t="s">
        <v>234</v>
      </c>
    </row>
    <row r="37" spans="1:10" x14ac:dyDescent="0.25">
      <c r="A37">
        <v>2011</v>
      </c>
      <c r="B37" t="s">
        <v>104</v>
      </c>
      <c r="C37" t="s">
        <v>105</v>
      </c>
      <c r="E37">
        <v>877806116.00432301</v>
      </c>
      <c r="F37">
        <v>877806116.00432301</v>
      </c>
      <c r="G37">
        <v>3.4613816447715</v>
      </c>
      <c r="H37">
        <v>155049677.39026922</v>
      </c>
      <c r="I37">
        <v>3038421977.6055255</v>
      </c>
      <c r="J37" t="s">
        <v>233</v>
      </c>
    </row>
    <row r="38" spans="1:10" x14ac:dyDescent="0.25">
      <c r="A38">
        <v>1720</v>
      </c>
      <c r="B38" t="s">
        <v>106</v>
      </c>
      <c r="C38" t="s">
        <v>107</v>
      </c>
      <c r="D38">
        <v>2779530283</v>
      </c>
      <c r="E38">
        <v>2779530283</v>
      </c>
      <c r="F38">
        <v>2779530283</v>
      </c>
      <c r="G38">
        <v>1.08047385358278</v>
      </c>
      <c r="H38">
        <v>63635360.379514493</v>
      </c>
      <c r="I38">
        <v>3003209796.0230451</v>
      </c>
      <c r="J38" t="s">
        <v>238</v>
      </c>
    </row>
    <row r="39" spans="1:10" x14ac:dyDescent="0.25">
      <c r="A39">
        <v>7186</v>
      </c>
      <c r="B39" t="s">
        <v>110</v>
      </c>
      <c r="C39" t="s">
        <v>111</v>
      </c>
      <c r="E39">
        <v>164900128.85893455</v>
      </c>
      <c r="F39">
        <v>164900128.85893455</v>
      </c>
      <c r="G39">
        <v>17.477928074883369</v>
      </c>
      <c r="H39">
        <v>260995529.41750041</v>
      </c>
      <c r="I39">
        <v>2882112591.7354574</v>
      </c>
      <c r="J39" t="s">
        <v>231</v>
      </c>
    </row>
    <row r="40" spans="1:10" x14ac:dyDescent="0.25">
      <c r="A40">
        <v>5034</v>
      </c>
      <c r="B40" t="s">
        <v>114</v>
      </c>
      <c r="C40" t="s">
        <v>115</v>
      </c>
      <c r="E40">
        <v>8470098.0572620593</v>
      </c>
      <c r="F40">
        <v>9651217.4512620606</v>
      </c>
      <c r="G40">
        <v>335.79481122977347</v>
      </c>
      <c r="H40">
        <v>289582934.87490469</v>
      </c>
      <c r="I40">
        <v>2844214978.2359843</v>
      </c>
      <c r="J40" t="s">
        <v>237</v>
      </c>
    </row>
    <row r="41" spans="1:10" x14ac:dyDescent="0.25">
      <c r="A41">
        <v>3794</v>
      </c>
      <c r="B41" t="s">
        <v>108</v>
      </c>
      <c r="C41" t="s">
        <v>109</v>
      </c>
      <c r="E41">
        <v>210767262.76286599</v>
      </c>
      <c r="F41">
        <v>268551865.76286602</v>
      </c>
      <c r="G41">
        <v>13.45462475263702</v>
      </c>
      <c r="H41">
        <v>269089799.5812971</v>
      </c>
      <c r="I41">
        <v>2835794430.6148076</v>
      </c>
      <c r="J41" t="s">
        <v>236</v>
      </c>
    </row>
    <row r="42" spans="1:10" x14ac:dyDescent="0.25">
      <c r="A42">
        <v>4030</v>
      </c>
      <c r="B42" t="s">
        <v>112</v>
      </c>
      <c r="C42" t="s">
        <v>113</v>
      </c>
      <c r="D42">
        <v>10000000000</v>
      </c>
      <c r="E42">
        <v>3059335969.7729411</v>
      </c>
      <c r="F42">
        <v>5539070767.445405</v>
      </c>
      <c r="G42">
        <v>0.90082085151098001</v>
      </c>
      <c r="H42">
        <v>147016273.38972807</v>
      </c>
      <c r="I42">
        <v>2755913633.3490305</v>
      </c>
      <c r="J42" t="s">
        <v>233</v>
      </c>
    </row>
    <row r="43" spans="1:10" x14ac:dyDescent="0.25">
      <c r="A43">
        <v>2502</v>
      </c>
      <c r="B43" t="s">
        <v>116</v>
      </c>
      <c r="C43" t="s">
        <v>117</v>
      </c>
      <c r="D43">
        <v>500000000</v>
      </c>
      <c r="E43">
        <v>175074232.25441208</v>
      </c>
      <c r="F43">
        <v>500000000</v>
      </c>
      <c r="G43">
        <v>14.86206655205498</v>
      </c>
      <c r="H43">
        <v>411298798.87424761</v>
      </c>
      <c r="I43">
        <v>2601964891.3150029</v>
      </c>
      <c r="J43" t="s">
        <v>241</v>
      </c>
    </row>
    <row r="44" spans="1:10" x14ac:dyDescent="0.25">
      <c r="A44">
        <v>4157</v>
      </c>
      <c r="B44" t="s">
        <v>120</v>
      </c>
      <c r="C44" t="s">
        <v>121</v>
      </c>
      <c r="D44">
        <v>500000000</v>
      </c>
      <c r="E44">
        <v>213536800.16348216</v>
      </c>
      <c r="F44">
        <v>461668422.22481161</v>
      </c>
      <c r="G44">
        <v>11.985148831335071</v>
      </c>
      <c r="H44">
        <v>143349180.78431779</v>
      </c>
      <c r="I44">
        <v>2559270330.9263887</v>
      </c>
      <c r="J44" t="s">
        <v>234</v>
      </c>
    </row>
    <row r="45" spans="1:10" x14ac:dyDescent="0.25">
      <c r="A45">
        <v>4172</v>
      </c>
      <c r="B45" t="s">
        <v>118</v>
      </c>
      <c r="C45" t="s">
        <v>119</v>
      </c>
      <c r="E45">
        <v>408775695.1695413</v>
      </c>
      <c r="F45">
        <v>986179668.88649297</v>
      </c>
      <c r="G45">
        <v>6.1992758983442497</v>
      </c>
      <c r="H45">
        <v>426290489.29326218</v>
      </c>
      <c r="I45">
        <v>2534113314.8934531</v>
      </c>
      <c r="J45" t="s">
        <v>242</v>
      </c>
    </row>
    <row r="46" spans="1:10" x14ac:dyDescent="0.25">
      <c r="A46">
        <v>3718</v>
      </c>
      <c r="B46" t="s">
        <v>122</v>
      </c>
      <c r="C46" t="s">
        <v>123</v>
      </c>
      <c r="E46">
        <v>659952625000</v>
      </c>
      <c r="F46">
        <v>990000000000</v>
      </c>
      <c r="G46">
        <v>3.7115437922999998E-3</v>
      </c>
      <c r="H46">
        <v>404836492.19673991</v>
      </c>
      <c r="I46">
        <v>2449443068.530839</v>
      </c>
      <c r="J46" t="s">
        <v>236</v>
      </c>
    </row>
    <row r="47" spans="1:10" x14ac:dyDescent="0.25">
      <c r="A47">
        <v>3957</v>
      </c>
      <c r="B47" t="s">
        <v>124</v>
      </c>
      <c r="C47" t="s">
        <v>125</v>
      </c>
      <c r="E47">
        <v>953954130</v>
      </c>
      <c r="F47">
        <v>985239504</v>
      </c>
      <c r="G47">
        <v>2.4146621293228301</v>
      </c>
      <c r="H47">
        <v>3532440.1035303702</v>
      </c>
      <c r="I47">
        <v>2303476910.8221078</v>
      </c>
      <c r="J47" t="s">
        <v>239</v>
      </c>
    </row>
    <row r="48" spans="1:10" x14ac:dyDescent="0.25">
      <c r="A48">
        <v>5805</v>
      </c>
      <c r="B48" t="s">
        <v>126</v>
      </c>
      <c r="C48" t="s">
        <v>127</v>
      </c>
      <c r="D48">
        <v>720000000</v>
      </c>
      <c r="E48">
        <v>130043607.47625595</v>
      </c>
      <c r="F48">
        <v>384209642.47625589</v>
      </c>
      <c r="G48">
        <v>17.649848904182051</v>
      </c>
      <c r="H48">
        <v>84038200.325894341</v>
      </c>
      <c r="I48">
        <v>2295250022.910677</v>
      </c>
      <c r="J48" t="s">
        <v>236</v>
      </c>
    </row>
    <row r="49" spans="1:10" x14ac:dyDescent="0.25">
      <c r="A49">
        <v>1168</v>
      </c>
      <c r="B49" t="s">
        <v>128</v>
      </c>
      <c r="C49" t="s">
        <v>129</v>
      </c>
      <c r="D49">
        <v>21000000</v>
      </c>
      <c r="E49">
        <v>12980138.76221914</v>
      </c>
      <c r="F49">
        <v>12980138.76221914</v>
      </c>
      <c r="G49">
        <v>169.0174530595597</v>
      </c>
      <c r="H49">
        <v>63323354.783803143</v>
      </c>
      <c r="I49">
        <v>2193869993.949945</v>
      </c>
      <c r="J49" t="s">
        <v>242</v>
      </c>
    </row>
    <row r="50" spans="1:10" x14ac:dyDescent="0.25">
      <c r="A50">
        <v>5692</v>
      </c>
      <c r="B50" t="s">
        <v>130</v>
      </c>
      <c r="C50" t="s">
        <v>131</v>
      </c>
      <c r="D50">
        <v>10000000</v>
      </c>
      <c r="E50">
        <v>5221278.0294041904</v>
      </c>
      <c r="F50">
        <v>10000000</v>
      </c>
      <c r="G50">
        <v>419.94824721977528</v>
      </c>
      <c r="H50">
        <v>227796359.65012941</v>
      </c>
      <c r="I50">
        <v>2192666556.6954122</v>
      </c>
      <c r="J50" t="s">
        <v>236</v>
      </c>
    </row>
    <row r="51" spans="1:10" x14ac:dyDescent="0.25">
      <c r="A51">
        <v>4023</v>
      </c>
      <c r="B51" t="s">
        <v>132</v>
      </c>
      <c r="C51" t="s">
        <v>133</v>
      </c>
      <c r="E51">
        <v>54598.022636599999</v>
      </c>
      <c r="F51">
        <v>59501</v>
      </c>
      <c r="G51">
        <v>36732.866227239494</v>
      </c>
      <c r="H51">
        <v>98600537.946854487</v>
      </c>
      <c r="I51">
        <v>2005541861.7820215</v>
      </c>
      <c r="J51" t="s">
        <v>232</v>
      </c>
    </row>
    <row r="52" spans="1:10" x14ac:dyDescent="0.25">
      <c r="A52">
        <v>7129</v>
      </c>
      <c r="B52" t="s">
        <v>134</v>
      </c>
      <c r="C52" t="s">
        <v>135</v>
      </c>
      <c r="E52">
        <v>1952828057.7716711</v>
      </c>
      <c r="F52">
        <v>1952828052.573118</v>
      </c>
      <c r="G52">
        <v>0.99916251425830005</v>
      </c>
      <c r="H52">
        <v>29548220.243544038</v>
      </c>
      <c r="I52">
        <v>1951192592.1172955</v>
      </c>
      <c r="J52" t="s">
        <v>232</v>
      </c>
    </row>
    <row r="53" spans="1:10" x14ac:dyDescent="0.25">
      <c r="A53">
        <v>4642</v>
      </c>
      <c r="B53" t="s">
        <v>138</v>
      </c>
      <c r="C53" t="s">
        <v>35</v>
      </c>
      <c r="D53">
        <v>50000000000</v>
      </c>
      <c r="E53">
        <v>8426965014</v>
      </c>
      <c r="F53">
        <v>50000000000</v>
      </c>
      <c r="G53">
        <v>0.22807564560721999</v>
      </c>
      <c r="H53">
        <v>200607660.82455969</v>
      </c>
      <c r="I53">
        <v>1921985486.0775056</v>
      </c>
      <c r="J53" t="s">
        <v>236</v>
      </c>
    </row>
    <row r="54" spans="1:10" x14ac:dyDescent="0.25">
      <c r="A54">
        <v>131</v>
      </c>
      <c r="B54" t="s">
        <v>136</v>
      </c>
      <c r="C54" t="s">
        <v>137</v>
      </c>
      <c r="D54">
        <v>18900000</v>
      </c>
      <c r="E54">
        <v>10160535.649905929</v>
      </c>
      <c r="F54">
        <v>10160535.649905929</v>
      </c>
      <c r="G54">
        <v>188.0576714820568</v>
      </c>
      <c r="H54">
        <v>525956088.28458643</v>
      </c>
      <c r="I54">
        <v>1910766675.3317356</v>
      </c>
      <c r="J54" t="s">
        <v>234</v>
      </c>
    </row>
    <row r="55" spans="1:10" x14ac:dyDescent="0.25">
      <c r="A55">
        <v>1437</v>
      </c>
      <c r="B55" t="s">
        <v>139</v>
      </c>
      <c r="C55" t="s">
        <v>140</v>
      </c>
      <c r="D55">
        <v>21000000</v>
      </c>
      <c r="E55">
        <v>11890106.25</v>
      </c>
      <c r="F55">
        <v>11890106.25</v>
      </c>
      <c r="G55">
        <v>154.80321882090757</v>
      </c>
      <c r="H55">
        <v>548898446.50589633</v>
      </c>
      <c r="I55">
        <v>1840626719.6225908</v>
      </c>
      <c r="J55" t="s">
        <v>241</v>
      </c>
    </row>
    <row r="56" spans="1:10" x14ac:dyDescent="0.25">
      <c r="A56">
        <v>6892</v>
      </c>
      <c r="B56" t="s">
        <v>141</v>
      </c>
      <c r="C56" t="s">
        <v>142</v>
      </c>
      <c r="D56">
        <v>31415926</v>
      </c>
      <c r="E56">
        <v>17548214.304110009</v>
      </c>
      <c r="F56">
        <v>21805230</v>
      </c>
      <c r="G56">
        <v>100.62687066147916</v>
      </c>
      <c r="H56">
        <v>53674015.962768078</v>
      </c>
      <c r="I56">
        <v>1765821891.1195962</v>
      </c>
      <c r="J56" t="s">
        <v>232</v>
      </c>
    </row>
    <row r="57" spans="1:10" x14ac:dyDescent="0.25">
      <c r="A57">
        <v>3822</v>
      </c>
      <c r="B57" t="s">
        <v>149</v>
      </c>
      <c r="C57" t="s">
        <v>150</v>
      </c>
      <c r="E57">
        <v>5301214400</v>
      </c>
      <c r="F57">
        <v>5301214400</v>
      </c>
      <c r="G57">
        <v>0.32871403061484</v>
      </c>
      <c r="H57">
        <v>37223408.830081068</v>
      </c>
      <c r="I57">
        <v>1742583552.5774307</v>
      </c>
      <c r="J57" t="s">
        <v>238</v>
      </c>
    </row>
    <row r="58" spans="1:10" x14ac:dyDescent="0.25">
      <c r="A58">
        <v>2700</v>
      </c>
      <c r="B58" t="s">
        <v>143</v>
      </c>
      <c r="C58" t="s">
        <v>144</v>
      </c>
      <c r="D58">
        <v>695658160</v>
      </c>
      <c r="E58">
        <v>238863519.82600001</v>
      </c>
      <c r="F58">
        <v>695658160</v>
      </c>
      <c r="G58">
        <v>7.1755859539129903</v>
      </c>
      <c r="H58">
        <v>22839671.58262961</v>
      </c>
      <c r="I58">
        <v>1713985717.7656629</v>
      </c>
      <c r="J58" t="s">
        <v>238</v>
      </c>
    </row>
    <row r="59" spans="1:10" x14ac:dyDescent="0.25">
      <c r="A59">
        <v>873</v>
      </c>
      <c r="B59" t="s">
        <v>145</v>
      </c>
      <c r="C59" t="s">
        <v>146</v>
      </c>
      <c r="D59">
        <v>8999999999</v>
      </c>
      <c r="E59">
        <v>8999999999</v>
      </c>
      <c r="F59">
        <v>8999999999</v>
      </c>
      <c r="G59">
        <v>0.18837995334470001</v>
      </c>
      <c r="H59">
        <v>93222299.079047441</v>
      </c>
      <c r="I59">
        <v>1695419579.9139202</v>
      </c>
      <c r="J59" t="s">
        <v>237</v>
      </c>
    </row>
    <row r="60" spans="1:10" x14ac:dyDescent="0.25">
      <c r="A60">
        <v>5864</v>
      </c>
      <c r="B60" t="s">
        <v>147</v>
      </c>
      <c r="C60" t="s">
        <v>148</v>
      </c>
      <c r="D60">
        <v>36666</v>
      </c>
      <c r="E60">
        <v>36635.03210425</v>
      </c>
      <c r="F60">
        <v>36666</v>
      </c>
      <c r="G60">
        <v>45593.826718203141</v>
      </c>
      <c r="H60">
        <v>479280842.5131079</v>
      </c>
      <c r="I60">
        <v>1670331305.5769837</v>
      </c>
      <c r="J60" t="s">
        <v>232</v>
      </c>
    </row>
    <row r="61" spans="1:10" x14ac:dyDescent="0.25">
      <c r="A61">
        <v>2394</v>
      </c>
      <c r="B61" t="s">
        <v>151</v>
      </c>
      <c r="C61" t="s">
        <v>152</v>
      </c>
      <c r="D61">
        <v>100000000000</v>
      </c>
      <c r="E61">
        <v>51884110195.290001</v>
      </c>
      <c r="F61">
        <v>100000000000</v>
      </c>
      <c r="G61">
        <v>3.1981646802670002E-2</v>
      </c>
      <c r="H61">
        <v>55101271.291134723</v>
      </c>
      <c r="I61">
        <v>1659339286.9365745</v>
      </c>
      <c r="J61" t="s">
        <v>235</v>
      </c>
    </row>
    <row r="62" spans="1:10" x14ac:dyDescent="0.25">
      <c r="A62">
        <v>4066</v>
      </c>
      <c r="B62" t="s">
        <v>153</v>
      </c>
      <c r="C62" t="s">
        <v>154</v>
      </c>
      <c r="D62">
        <v>8888888888</v>
      </c>
      <c r="E62">
        <v>5799955193.5901966</v>
      </c>
      <c r="F62">
        <v>8888888888</v>
      </c>
      <c r="G62">
        <v>0.27448830551043002</v>
      </c>
      <c r="H62">
        <v>200057670.10340121</v>
      </c>
      <c r="I62">
        <v>1592019873.1249912</v>
      </c>
      <c r="J62" t="s">
        <v>232</v>
      </c>
    </row>
    <row r="63" spans="1:10" x14ac:dyDescent="0.25">
      <c r="A63">
        <v>2682</v>
      </c>
      <c r="B63" t="s">
        <v>155</v>
      </c>
      <c r="C63" t="s">
        <v>156</v>
      </c>
      <c r="E63">
        <v>172673864847.79962</v>
      </c>
      <c r="F63">
        <v>177619433541.14133</v>
      </c>
      <c r="G63">
        <v>8.8028712341000001E-3</v>
      </c>
      <c r="H63">
        <v>163511526.07220131</v>
      </c>
      <c r="I63">
        <v>1520025797.7495666</v>
      </c>
      <c r="J63" t="s">
        <v>240</v>
      </c>
    </row>
    <row r="64" spans="1:10" x14ac:dyDescent="0.25">
      <c r="A64">
        <v>6758</v>
      </c>
      <c r="B64" t="s">
        <v>159</v>
      </c>
      <c r="C64" t="s">
        <v>160</v>
      </c>
      <c r="D64">
        <v>250000000</v>
      </c>
      <c r="E64">
        <v>127244443</v>
      </c>
      <c r="F64">
        <v>222185150.67182693</v>
      </c>
      <c r="G64">
        <v>11.86549674640078</v>
      </c>
      <c r="H64">
        <v>547214416.24974012</v>
      </c>
      <c r="I64">
        <v>1509818524.4140794</v>
      </c>
      <c r="J64" t="s">
        <v>238</v>
      </c>
    </row>
    <row r="65" spans="1:10" x14ac:dyDescent="0.25">
      <c r="A65">
        <v>2586</v>
      </c>
      <c r="B65" t="s">
        <v>157</v>
      </c>
      <c r="C65" t="s">
        <v>158</v>
      </c>
      <c r="D65">
        <v>212424133</v>
      </c>
      <c r="E65">
        <v>114841533.01197928</v>
      </c>
      <c r="F65">
        <v>215258834.24491519</v>
      </c>
      <c r="G65">
        <v>12.933381907339101</v>
      </c>
      <c r="H65">
        <v>92986582.618743524</v>
      </c>
      <c r="I65">
        <v>1485289405.268219</v>
      </c>
      <c r="J65" t="s">
        <v>236</v>
      </c>
    </row>
    <row r="66" spans="1:10" x14ac:dyDescent="0.25">
      <c r="A66">
        <v>1274</v>
      </c>
      <c r="B66" t="s">
        <v>161</v>
      </c>
      <c r="C66" t="s">
        <v>162</v>
      </c>
      <c r="E66">
        <v>105248404</v>
      </c>
      <c r="F66">
        <v>105248404</v>
      </c>
      <c r="G66">
        <v>12.9882891707148</v>
      </c>
      <c r="H66">
        <v>128586595.151003</v>
      </c>
      <c r="I66">
        <v>1366996705.9082162</v>
      </c>
      <c r="J66" t="s">
        <v>242</v>
      </c>
    </row>
    <row r="67" spans="1:10" x14ac:dyDescent="0.25">
      <c r="A67">
        <v>5665</v>
      </c>
      <c r="B67" t="s">
        <v>163</v>
      </c>
      <c r="C67" t="s">
        <v>164</v>
      </c>
      <c r="D67">
        <v>223000000</v>
      </c>
      <c r="E67">
        <v>84711159.506766587</v>
      </c>
      <c r="F67">
        <v>223000000</v>
      </c>
      <c r="G67">
        <v>15.81302500758793</v>
      </c>
      <c r="H67">
        <v>27457192.68688732</v>
      </c>
      <c r="I67">
        <v>1339539683.70227</v>
      </c>
      <c r="J67" t="s">
        <v>240</v>
      </c>
    </row>
    <row r="68" spans="1:10" x14ac:dyDescent="0.25">
      <c r="A68">
        <v>2130</v>
      </c>
      <c r="B68" t="s">
        <v>165</v>
      </c>
      <c r="C68" t="s">
        <v>166</v>
      </c>
      <c r="D68">
        <v>1000000000</v>
      </c>
      <c r="E68">
        <v>834331121.39901876</v>
      </c>
      <c r="F68">
        <v>1000000000</v>
      </c>
      <c r="G68">
        <v>1.57438221877002</v>
      </c>
      <c r="H68">
        <v>331313311.92942327</v>
      </c>
      <c r="I68">
        <v>1313556082.0970662</v>
      </c>
      <c r="J68" t="s">
        <v>234</v>
      </c>
    </row>
    <row r="69" spans="1:10" x14ac:dyDescent="0.25">
      <c r="A69">
        <v>1966</v>
      </c>
      <c r="B69" t="s">
        <v>167</v>
      </c>
      <c r="C69" t="s">
        <v>168</v>
      </c>
      <c r="E69">
        <v>1580470221.488471</v>
      </c>
      <c r="F69">
        <v>2194359627.3201461</v>
      </c>
      <c r="G69">
        <v>0.81487915253382004</v>
      </c>
      <c r="H69">
        <v>91852678.948152184</v>
      </c>
      <c r="I69">
        <v>1287892234.6914642</v>
      </c>
      <c r="J69" t="s">
        <v>232</v>
      </c>
    </row>
    <row r="70" spans="1:10" x14ac:dyDescent="0.25">
      <c r="A70">
        <v>6535</v>
      </c>
      <c r="B70" t="s">
        <v>173</v>
      </c>
      <c r="C70" t="s">
        <v>174</v>
      </c>
      <c r="D70">
        <v>1000000000</v>
      </c>
      <c r="E70">
        <v>390443902</v>
      </c>
      <c r="F70">
        <v>1000000000</v>
      </c>
      <c r="G70">
        <v>3.2520880120756401</v>
      </c>
      <c r="H70">
        <v>118766678.44514744</v>
      </c>
      <c r="I70">
        <v>1269757933.0822361</v>
      </c>
      <c r="J70" t="s">
        <v>235</v>
      </c>
    </row>
    <row r="71" spans="1:10" x14ac:dyDescent="0.25">
      <c r="A71">
        <v>3330</v>
      </c>
      <c r="B71" t="s">
        <v>169</v>
      </c>
      <c r="C71" t="s">
        <v>170</v>
      </c>
      <c r="E71">
        <v>1265108353.6900001</v>
      </c>
      <c r="F71">
        <v>1265108353.6900001</v>
      </c>
      <c r="G71">
        <v>1.0002564777009499</v>
      </c>
      <c r="H71">
        <v>65154320.978969611</v>
      </c>
      <c r="I71">
        <v>1265432825.772007</v>
      </c>
      <c r="J71" t="s">
        <v>235</v>
      </c>
    </row>
    <row r="72" spans="1:10" x14ac:dyDescent="0.25">
      <c r="A72">
        <v>2469</v>
      </c>
      <c r="B72" t="s">
        <v>171</v>
      </c>
      <c r="C72" t="s">
        <v>172</v>
      </c>
      <c r="D72">
        <v>21000000000</v>
      </c>
      <c r="E72">
        <v>11331854923.007092</v>
      </c>
      <c r="F72">
        <v>14623322076.007092</v>
      </c>
      <c r="G72">
        <v>0.11089048166073</v>
      </c>
      <c r="H72">
        <v>90399949.162607327</v>
      </c>
      <c r="I72">
        <v>1256594850.5217707</v>
      </c>
      <c r="J72" t="s">
        <v>241</v>
      </c>
    </row>
    <row r="73" spans="1:10" x14ac:dyDescent="0.25">
      <c r="A73">
        <v>1698</v>
      </c>
      <c r="B73" t="s">
        <v>175</v>
      </c>
      <c r="C73" t="s">
        <v>176</v>
      </c>
      <c r="D73">
        <v>21000000</v>
      </c>
      <c r="E73">
        <v>11140925</v>
      </c>
      <c r="F73">
        <v>11140925</v>
      </c>
      <c r="G73">
        <v>105.57632195017661</v>
      </c>
      <c r="H73">
        <v>118246278.721671</v>
      </c>
      <c r="I73">
        <v>1176217884.6227713</v>
      </c>
      <c r="J73" t="s">
        <v>238</v>
      </c>
    </row>
    <row r="74" spans="1:10" x14ac:dyDescent="0.25">
      <c r="A74">
        <v>1684</v>
      </c>
      <c r="B74" t="s">
        <v>177</v>
      </c>
      <c r="C74" t="s">
        <v>178</v>
      </c>
      <c r="D74">
        <v>107822406</v>
      </c>
      <c r="E74">
        <v>98411005.726056799</v>
      </c>
      <c r="F74">
        <v>103444809</v>
      </c>
      <c r="G74">
        <v>11.61028347199934</v>
      </c>
      <c r="H74">
        <v>511517271.33597463</v>
      </c>
      <c r="I74">
        <v>1142579673.2440696</v>
      </c>
      <c r="J74" t="s">
        <v>236</v>
      </c>
    </row>
    <row r="75" spans="1:10" x14ac:dyDescent="0.25">
      <c r="A75">
        <v>2563</v>
      </c>
      <c r="B75" t="s">
        <v>179</v>
      </c>
      <c r="C75" t="s">
        <v>180</v>
      </c>
      <c r="E75">
        <v>1125523285.3399999</v>
      </c>
      <c r="F75">
        <v>1125523285.3399999</v>
      </c>
      <c r="G75">
        <v>1.00020601817564</v>
      </c>
      <c r="H75">
        <v>129826486.6601458</v>
      </c>
      <c r="I75">
        <v>1125755163.5938859</v>
      </c>
      <c r="J75" t="s">
        <v>240</v>
      </c>
    </row>
    <row r="76" spans="1:10" x14ac:dyDescent="0.25">
      <c r="A76">
        <v>4847</v>
      </c>
      <c r="B76" t="s">
        <v>181</v>
      </c>
      <c r="C76" t="s">
        <v>182</v>
      </c>
      <c r="D76">
        <v>1818000000</v>
      </c>
      <c r="E76">
        <v>1149554461.947684</v>
      </c>
      <c r="F76">
        <v>1352464600</v>
      </c>
      <c r="G76">
        <v>0.97628060462687005</v>
      </c>
      <c r="H76">
        <v>23005708.007382039</v>
      </c>
      <c r="I76">
        <v>1122287725.1618011</v>
      </c>
      <c r="J76" t="s">
        <v>237</v>
      </c>
    </row>
    <row r="77" spans="1:10" x14ac:dyDescent="0.25">
      <c r="A77">
        <v>1697</v>
      </c>
      <c r="B77" t="s">
        <v>185</v>
      </c>
      <c r="C77" t="s">
        <v>186</v>
      </c>
      <c r="D77">
        <v>1500000000</v>
      </c>
      <c r="E77">
        <v>1496014870.2258251</v>
      </c>
      <c r="F77">
        <v>1500000000</v>
      </c>
      <c r="G77">
        <v>0.74108817551627004</v>
      </c>
      <c r="H77">
        <v>214598553.45382819</v>
      </c>
      <c r="I77">
        <v>1108678930.7208662</v>
      </c>
      <c r="J77" t="s">
        <v>238</v>
      </c>
    </row>
    <row r="78" spans="1:10" x14ac:dyDescent="0.25">
      <c r="A78">
        <v>2694</v>
      </c>
      <c r="B78" t="s">
        <v>183</v>
      </c>
      <c r="C78" t="s">
        <v>184</v>
      </c>
      <c r="D78">
        <v>1000000000</v>
      </c>
      <c r="E78">
        <v>560000011</v>
      </c>
      <c r="F78">
        <v>1000000000</v>
      </c>
      <c r="G78">
        <v>1.94430479635079</v>
      </c>
      <c r="H78">
        <v>16708428.66385749</v>
      </c>
      <c r="I78">
        <v>1088810707.3437951</v>
      </c>
      <c r="J78" t="s">
        <v>236</v>
      </c>
    </row>
    <row r="79" spans="1:10" x14ac:dyDescent="0.25">
      <c r="A79">
        <v>2135</v>
      </c>
      <c r="B79" t="s">
        <v>189</v>
      </c>
      <c r="C79" t="s">
        <v>190</v>
      </c>
      <c r="E79">
        <v>85061485689.834015</v>
      </c>
      <c r="F79">
        <v>85061485689.834015</v>
      </c>
      <c r="G79">
        <v>1.221594502726E-2</v>
      </c>
      <c r="H79">
        <v>4295060.1749751698</v>
      </c>
      <c r="I79">
        <v>1039106433.1240757</v>
      </c>
      <c r="J79" t="s">
        <v>234</v>
      </c>
    </row>
    <row r="80" spans="1:10" x14ac:dyDescent="0.25">
      <c r="A80">
        <v>2083</v>
      </c>
      <c r="B80" t="s">
        <v>191</v>
      </c>
      <c r="C80" t="s">
        <v>192</v>
      </c>
      <c r="D80">
        <v>21000000</v>
      </c>
      <c r="E80">
        <v>17513923.589000002</v>
      </c>
      <c r="F80">
        <v>17513923.589000002</v>
      </c>
      <c r="G80">
        <v>57.70986751091084</v>
      </c>
      <c r="H80">
        <v>39156458.079407647</v>
      </c>
      <c r="I80">
        <v>1010726209.9174062</v>
      </c>
      <c r="J80" t="s">
        <v>231</v>
      </c>
    </row>
    <row r="81" spans="1:10" x14ac:dyDescent="0.25">
      <c r="A81">
        <v>6719</v>
      </c>
      <c r="B81" t="s">
        <v>187</v>
      </c>
      <c r="C81" t="s">
        <v>188</v>
      </c>
      <c r="D81">
        <v>10057044431</v>
      </c>
      <c r="E81">
        <v>1245666867</v>
      </c>
      <c r="F81">
        <v>10000000000</v>
      </c>
      <c r="G81">
        <v>0.79663501288730998</v>
      </c>
      <c r="H81">
        <v>233611860.47295991</v>
      </c>
      <c r="I81">
        <v>992341840.64584005</v>
      </c>
      <c r="J81" t="s">
        <v>240</v>
      </c>
    </row>
    <row r="82" spans="1:10" x14ac:dyDescent="0.25">
      <c r="A82">
        <v>1567</v>
      </c>
      <c r="B82" t="s">
        <v>193</v>
      </c>
      <c r="C82" t="s">
        <v>194</v>
      </c>
      <c r="D82">
        <v>133248298</v>
      </c>
      <c r="E82">
        <v>133248297.197</v>
      </c>
      <c r="F82">
        <v>133248297.197</v>
      </c>
      <c r="G82">
        <v>7.1890446891300703</v>
      </c>
      <c r="H82">
        <v>47012543.231354147</v>
      </c>
      <c r="I82">
        <v>957927963.29971802</v>
      </c>
      <c r="J82" t="s">
        <v>236</v>
      </c>
    </row>
    <row r="83" spans="1:10" x14ac:dyDescent="0.25">
      <c r="A83">
        <v>2566</v>
      </c>
      <c r="B83" t="s">
        <v>195</v>
      </c>
      <c r="C83" t="s">
        <v>196</v>
      </c>
      <c r="D83">
        <v>1000000000</v>
      </c>
      <c r="E83">
        <v>862599654</v>
      </c>
      <c r="F83">
        <v>1000000000</v>
      </c>
      <c r="G83">
        <v>1.0963429395244499</v>
      </c>
      <c r="H83">
        <v>228701566.55170295</v>
      </c>
      <c r="I83">
        <v>945705040.29913342</v>
      </c>
      <c r="J83" t="s">
        <v>236</v>
      </c>
    </row>
    <row r="84" spans="1:10" x14ac:dyDescent="0.25">
      <c r="A84">
        <v>8335</v>
      </c>
      <c r="B84" t="s">
        <v>197</v>
      </c>
      <c r="C84" t="s">
        <v>198</v>
      </c>
      <c r="E84">
        <v>432662793.82090998</v>
      </c>
      <c r="F84">
        <v>1000000000</v>
      </c>
      <c r="G84">
        <v>2.15536095843022</v>
      </c>
      <c r="H84">
        <v>78675167.806758091</v>
      </c>
      <c r="I84">
        <v>932544493.96693325</v>
      </c>
      <c r="J84" t="s">
        <v>242</v>
      </c>
    </row>
    <row r="85" spans="1:10" x14ac:dyDescent="0.25">
      <c r="A85">
        <v>3945</v>
      </c>
      <c r="B85" t="s">
        <v>203</v>
      </c>
      <c r="C85" t="s">
        <v>34</v>
      </c>
      <c r="D85">
        <v>12600000000</v>
      </c>
      <c r="E85">
        <v>9507132551.7931232</v>
      </c>
      <c r="F85">
        <v>13016029551.79314</v>
      </c>
      <c r="G85">
        <v>9.7901669902839994E-2</v>
      </c>
      <c r="H85">
        <v>110924553.72576964</v>
      </c>
      <c r="I85">
        <v>930764152.80819535</v>
      </c>
      <c r="J85" t="s">
        <v>239</v>
      </c>
    </row>
    <row r="86" spans="1:10" x14ac:dyDescent="0.25">
      <c r="A86">
        <v>1727</v>
      </c>
      <c r="B86" t="s">
        <v>199</v>
      </c>
      <c r="C86" t="s">
        <v>200</v>
      </c>
      <c r="E86">
        <v>202703039.3502802</v>
      </c>
      <c r="F86">
        <v>202703039.3502802</v>
      </c>
      <c r="G86">
        <v>4.5629202638730604</v>
      </c>
      <c r="H86">
        <v>85270487.855780482</v>
      </c>
      <c r="I86">
        <v>924917805.80005181</v>
      </c>
      <c r="J86" t="s">
        <v>236</v>
      </c>
    </row>
    <row r="87" spans="1:10" x14ac:dyDescent="0.25">
      <c r="A87">
        <v>109</v>
      </c>
      <c r="B87" t="s">
        <v>201</v>
      </c>
      <c r="C87" t="s">
        <v>202</v>
      </c>
      <c r="D87">
        <v>21000000000</v>
      </c>
      <c r="E87">
        <v>14358418210.644646</v>
      </c>
      <c r="F87">
        <v>14358418210.644646</v>
      </c>
      <c r="G87">
        <v>6.3800046523439999E-2</v>
      </c>
      <c r="H87">
        <v>39124369.442515977</v>
      </c>
      <c r="I87">
        <v>916067749.84213638</v>
      </c>
      <c r="J87" t="s">
        <v>234</v>
      </c>
    </row>
    <row r="88" spans="1:10" x14ac:dyDescent="0.25">
      <c r="A88">
        <v>1808</v>
      </c>
      <c r="B88" t="s">
        <v>204</v>
      </c>
      <c r="C88" t="s">
        <v>205</v>
      </c>
      <c r="D88">
        <v>140245399</v>
      </c>
      <c r="E88">
        <v>140245398.24513277</v>
      </c>
      <c r="F88">
        <v>140245398.24513277</v>
      </c>
      <c r="G88">
        <v>6.2898913706708104</v>
      </c>
      <c r="H88">
        <v>350156172.44579357</v>
      </c>
      <c r="I88">
        <v>882128320.19835186</v>
      </c>
      <c r="J88" t="s">
        <v>238</v>
      </c>
    </row>
    <row r="89" spans="1:10" x14ac:dyDescent="0.25">
      <c r="A89">
        <v>4779</v>
      </c>
      <c r="B89" t="s">
        <v>206</v>
      </c>
      <c r="C89" t="s">
        <v>206</v>
      </c>
      <c r="E89">
        <v>867061546.00630498</v>
      </c>
      <c r="F89">
        <v>867061546.00630498</v>
      </c>
      <c r="G89">
        <v>1.00017779301021</v>
      </c>
      <c r="H89">
        <v>106166135.51673156</v>
      </c>
      <c r="I89">
        <v>867215703.48860681</v>
      </c>
      <c r="J89" t="s">
        <v>237</v>
      </c>
    </row>
    <row r="90" spans="1:10" x14ac:dyDescent="0.25">
      <c r="A90">
        <v>2499</v>
      </c>
      <c r="B90" t="s">
        <v>207</v>
      </c>
      <c r="C90" t="s">
        <v>208</v>
      </c>
      <c r="E90">
        <v>1000000000</v>
      </c>
      <c r="F90">
        <v>1000000000</v>
      </c>
      <c r="G90">
        <v>0.83653179513622999</v>
      </c>
      <c r="H90">
        <v>6348998.5608405098</v>
      </c>
      <c r="I90">
        <v>836531795.13622999</v>
      </c>
      <c r="J90" t="s">
        <v>241</v>
      </c>
    </row>
    <row r="91" spans="1:10" x14ac:dyDescent="0.25">
      <c r="A91">
        <v>1896</v>
      </c>
      <c r="B91" t="s">
        <v>212</v>
      </c>
      <c r="C91" t="s">
        <v>213</v>
      </c>
      <c r="D91">
        <v>1000000000</v>
      </c>
      <c r="E91">
        <v>841921227.73310578</v>
      </c>
      <c r="F91">
        <v>1000000000</v>
      </c>
      <c r="G91">
        <v>0.98594198074174999</v>
      </c>
      <c r="H91">
        <v>75832451.359544411</v>
      </c>
      <c r="I91">
        <v>830085482.89970434</v>
      </c>
      <c r="J91" t="s">
        <v>237</v>
      </c>
    </row>
    <row r="92" spans="1:10" x14ac:dyDescent="0.25">
      <c r="A92">
        <v>1042</v>
      </c>
      <c r="B92" t="s">
        <v>209</v>
      </c>
      <c r="C92" t="s">
        <v>210</v>
      </c>
      <c r="E92">
        <v>47864812992</v>
      </c>
      <c r="F92">
        <v>47864812992</v>
      </c>
      <c r="G92">
        <v>1.7277357296259999E-2</v>
      </c>
      <c r="H92">
        <v>51852735.381823167</v>
      </c>
      <c r="I92">
        <v>826977475.98145163</v>
      </c>
      <c r="J92" t="s">
        <v>231</v>
      </c>
    </row>
    <row r="93" spans="1:10" x14ac:dyDescent="0.25">
      <c r="A93">
        <v>5617</v>
      </c>
      <c r="B93" t="s">
        <v>211</v>
      </c>
      <c r="C93" t="s">
        <v>211</v>
      </c>
      <c r="D93">
        <v>101172570</v>
      </c>
      <c r="E93">
        <v>60767601.962775312</v>
      </c>
      <c r="F93">
        <v>102700253.84874173</v>
      </c>
      <c r="G93">
        <v>13.382560785951499</v>
      </c>
      <c r="H93">
        <v>22752171.165712621</v>
      </c>
      <c r="I93">
        <v>813226127.08334625</v>
      </c>
      <c r="J93" t="s">
        <v>240</v>
      </c>
    </row>
    <row r="94" spans="1:10" x14ac:dyDescent="0.25">
      <c r="A94">
        <v>3897</v>
      </c>
      <c r="B94" t="s">
        <v>214</v>
      </c>
      <c r="C94" t="s">
        <v>214</v>
      </c>
      <c r="E94">
        <v>60000000</v>
      </c>
      <c r="F94">
        <v>300000000</v>
      </c>
      <c r="G94">
        <v>13.284873179668461</v>
      </c>
      <c r="H94">
        <v>622785688.21030974</v>
      </c>
      <c r="I94">
        <v>797092390.78010762</v>
      </c>
      <c r="J94" t="s">
        <v>237</v>
      </c>
    </row>
    <row r="95" spans="1:10" x14ac:dyDescent="0.25">
      <c r="A95">
        <v>3513</v>
      </c>
      <c r="B95" t="s">
        <v>215</v>
      </c>
      <c r="C95" t="s">
        <v>216</v>
      </c>
      <c r="D95">
        <v>3175000000</v>
      </c>
      <c r="E95">
        <v>2545006273</v>
      </c>
      <c r="F95">
        <v>2545006273</v>
      </c>
      <c r="G95">
        <v>0.30336717469169999</v>
      </c>
      <c r="H95">
        <v>55128576.44635649</v>
      </c>
      <c r="I95">
        <v>772071362.61266327</v>
      </c>
      <c r="J95" t="s">
        <v>241</v>
      </c>
    </row>
    <row r="96" spans="1:10" x14ac:dyDescent="0.25">
      <c r="A96">
        <v>5567</v>
      </c>
      <c r="B96" t="s">
        <v>217</v>
      </c>
      <c r="C96" t="s">
        <v>218</v>
      </c>
      <c r="D96">
        <v>1000000000</v>
      </c>
      <c r="E96">
        <v>225479897</v>
      </c>
      <c r="F96">
        <v>1000000000</v>
      </c>
      <c r="G96">
        <v>3.4201455888135701</v>
      </c>
      <c r="H96">
        <v>14603975.07799078</v>
      </c>
      <c r="I96">
        <v>771174075.09068811</v>
      </c>
      <c r="J96" t="s">
        <v>241</v>
      </c>
    </row>
    <row r="97" spans="1:10" x14ac:dyDescent="0.25">
      <c r="A97">
        <v>7064</v>
      </c>
      <c r="B97" t="s">
        <v>219</v>
      </c>
      <c r="C97" t="s">
        <v>220</v>
      </c>
      <c r="D97">
        <v>277237400</v>
      </c>
      <c r="E97">
        <v>188717930.44942987</v>
      </c>
      <c r="F97">
        <v>277237400</v>
      </c>
      <c r="G97">
        <v>4.0570720383558303</v>
      </c>
      <c r="H97">
        <v>184198724.69221604</v>
      </c>
      <c r="I97">
        <v>765642238.76276231</v>
      </c>
      <c r="J97" t="s">
        <v>232</v>
      </c>
    </row>
    <row r="98" spans="1:10" x14ac:dyDescent="0.25">
      <c r="A98">
        <v>3783</v>
      </c>
      <c r="B98" t="s">
        <v>221</v>
      </c>
      <c r="C98" t="s">
        <v>222</v>
      </c>
      <c r="D98">
        <v>10000000000</v>
      </c>
      <c r="E98">
        <v>6996232711.125</v>
      </c>
      <c r="F98">
        <v>10000000000</v>
      </c>
      <c r="G98">
        <v>0.1046025008562</v>
      </c>
      <c r="H98">
        <v>51978288.971663877</v>
      </c>
      <c r="I98">
        <v>731823438.15562725</v>
      </c>
      <c r="J98" t="s">
        <v>238</v>
      </c>
    </row>
    <row r="99" spans="1:10" x14ac:dyDescent="0.25">
      <c r="A99">
        <v>2634</v>
      </c>
      <c r="B99" t="s">
        <v>227</v>
      </c>
      <c r="C99" t="s">
        <v>228</v>
      </c>
      <c r="E99">
        <v>12269880571.6</v>
      </c>
      <c r="F99">
        <v>37669880571.599998</v>
      </c>
      <c r="G99">
        <v>5.9182119298690002E-2</v>
      </c>
      <c r="H99">
        <v>4603342.9071567403</v>
      </c>
      <c r="I99">
        <v>726157535.76910985</v>
      </c>
      <c r="J99" t="s">
        <v>240</v>
      </c>
    </row>
    <row r="100" spans="1:10" x14ac:dyDescent="0.25">
      <c r="A100">
        <v>2577</v>
      </c>
      <c r="B100" t="s">
        <v>223</v>
      </c>
      <c r="C100" t="s">
        <v>224</v>
      </c>
      <c r="D100">
        <v>21000000000</v>
      </c>
      <c r="E100">
        <v>8890705000</v>
      </c>
      <c r="F100">
        <v>8890705000</v>
      </c>
      <c r="G100">
        <v>8.0601002755089995E-2</v>
      </c>
      <c r="H100">
        <v>40245031.268073551</v>
      </c>
      <c r="I100">
        <v>716599738.19969237</v>
      </c>
      <c r="J100" t="s">
        <v>230</v>
      </c>
    </row>
    <row r="101" spans="1:10" x14ac:dyDescent="0.25">
      <c r="A101">
        <v>2099</v>
      </c>
      <c r="B101" t="s">
        <v>225</v>
      </c>
      <c r="C101" t="s">
        <v>226</v>
      </c>
      <c r="E101">
        <v>630671980.97164834</v>
      </c>
      <c r="F101">
        <v>800460000</v>
      </c>
      <c r="G101">
        <v>1.0980560428760699</v>
      </c>
      <c r="H101">
        <v>43403403.495719798</v>
      </c>
      <c r="I101">
        <v>692513179.77854025</v>
      </c>
      <c r="J101" t="s">
        <v>234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AE2373-6F51-48A7-8650-9FB2676D51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CoinMarketCap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</cp:lastModifiedBy>
  <dcterms:created xsi:type="dcterms:W3CDTF">2021-05-31T12:55:52Z</dcterms:created>
  <dcterms:modified xsi:type="dcterms:W3CDTF">2021-05-31T17:49:30Z</dcterms:modified>
</cp:coreProperties>
</file>